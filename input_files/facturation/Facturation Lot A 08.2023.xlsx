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N:\11_FS_West\05_Geneve_GKR\01_Mgmt\Facility\05.Clients\Lot A\Facturation Mensuel\2023\08 Août\"/>
    </mc:Choice>
  </mc:AlternateContent>
  <xr:revisionPtr revIDLastSave="0" documentId="13_ncr:1_{CAC06892-A187-41F1-86B3-C1F1AF1A1B3F}" xr6:coauthVersionLast="47" xr6:coauthVersionMax="47" xr10:uidLastSave="{00000000-0000-0000-0000-000000000000}"/>
  <bookViews>
    <workbookView xWindow="1875" yWindow="1620" windowWidth="21600" windowHeight="11040" xr2:uid="{186A2E8D-9ABD-48A3-A0CB-9419D6C088A6}"/>
  </bookViews>
  <sheets>
    <sheet name="Feuil1" sheetId="1" r:id="rId1"/>
  </sheets>
  <definedNames>
    <definedName name="_xlnm.Print_Area" localSheetId="0">Feuil1!$A$1:$F$43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33" i="1" l="1"/>
  <c r="D29" i="1"/>
  <c r="D8" i="1" l="1"/>
  <c r="D9" i="1"/>
  <c r="D15" i="1"/>
  <c r="D16" i="1"/>
  <c r="D22" i="1"/>
  <c r="D23" i="1"/>
  <c r="D30" i="1"/>
  <c r="D17" i="1" l="1"/>
  <c r="D36" i="1"/>
  <c r="E36" i="1" l="1"/>
  <c r="E37" i="1" s="1"/>
  <c r="D37" i="1" l="1"/>
  <c r="F37" i="1" s="1"/>
  <c r="F36" i="1" l="1"/>
</calcChain>
</file>

<file path=xl/sharedStrings.xml><?xml version="1.0" encoding="utf-8"?>
<sst xmlns="http://schemas.openxmlformats.org/spreadsheetml/2006/main" count="53" uniqueCount="51">
  <si>
    <t>Nom</t>
  </si>
  <si>
    <t>Date ouvrable</t>
  </si>
  <si>
    <t>Jour de la semaine</t>
  </si>
  <si>
    <t>Heures</t>
  </si>
  <si>
    <t>Facturation</t>
  </si>
  <si>
    <t>Coordinateurs</t>
  </si>
  <si>
    <t>*Ce récapitulatif tient compte des différentes demandes ajouté et supprimés dans le mois</t>
  </si>
  <si>
    <t>Total en Chf</t>
  </si>
  <si>
    <t>Total avec les heures coordinateurs séparées</t>
  </si>
  <si>
    <t>Tarifs horaires coordinateurs : 42,84-chf</t>
  </si>
  <si>
    <t>Tarifs Horaires de base : 40,38-Chf</t>
  </si>
  <si>
    <t>Rapport des heures Agents du Terminal Juillet 2023</t>
  </si>
  <si>
    <t>Coordi Naomé</t>
  </si>
  <si>
    <t>Coordi Aya</t>
  </si>
  <si>
    <t>Total 01.08.2023</t>
  </si>
  <si>
    <t>Total 02.08.2023</t>
  </si>
  <si>
    <t>Total 03.08.2023</t>
  </si>
  <si>
    <t>Total 04.08.2023</t>
  </si>
  <si>
    <t>Total 05.08.2023</t>
  </si>
  <si>
    <t>Total 06.08.2023</t>
  </si>
  <si>
    <t>Total 07.08.2023</t>
  </si>
  <si>
    <t>Total 08.08.2023</t>
  </si>
  <si>
    <t>Total 09.08.2023</t>
  </si>
  <si>
    <t>Total 10.08.2023</t>
  </si>
  <si>
    <t>Total 11.08.2023</t>
  </si>
  <si>
    <t>Total 12.08.2023</t>
  </si>
  <si>
    <t>Total 13.08.2023</t>
  </si>
  <si>
    <t>Total 14.08.2023</t>
  </si>
  <si>
    <t>Total 15.08.2023</t>
  </si>
  <si>
    <t>Total 16.08.2023</t>
  </si>
  <si>
    <t>Total 17.08.2023</t>
  </si>
  <si>
    <t>Total 18.08.2023</t>
  </si>
  <si>
    <t>Total 19.08.2023</t>
  </si>
  <si>
    <t>Total 20.08.2023</t>
  </si>
  <si>
    <t>Coordi Lauri</t>
  </si>
  <si>
    <t>Coodi Guillaume</t>
  </si>
  <si>
    <t>Coordi Tessa</t>
  </si>
  <si>
    <t>Séance coordi</t>
  </si>
  <si>
    <t>Total 21.08.2023</t>
  </si>
  <si>
    <t>Total 22.08.2023</t>
  </si>
  <si>
    <t>Total 23.08.2023</t>
  </si>
  <si>
    <t>Total 24.08.2023</t>
  </si>
  <si>
    <t>Total 25.08.2023</t>
  </si>
  <si>
    <t>Total 26.08.2023</t>
  </si>
  <si>
    <t>Total 27.08.2023</t>
  </si>
  <si>
    <t>Formation coordi Ihsan</t>
  </si>
  <si>
    <t>Total 28.08.2023</t>
  </si>
  <si>
    <t>Total 29.08.2024</t>
  </si>
  <si>
    <t>Total 30.08.2024</t>
  </si>
  <si>
    <t>Maj Aya, Natacha et Isabelle</t>
  </si>
  <si>
    <t>Total 31.08.2025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</si>
</sst>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.mm\.yyyy"/>
    <numFmt numFmtId="165" formatCode="#,##0.00\ &quot;CHF&quot;"/>
    <numFmt numFmtId="166" formatCode="#,##0.00;\-#,##0.00;\ \.\ \ "/>
  </numFmts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13A3F7"/>
      <name val="Arial"/>
      <family val="2"/>
    </font>
    <font>
      <sz val="8"/>
      <color rgb="FFFFFFFF"/>
      <name val="Arial"/>
      <family val="2"/>
    </font>
    <font>
      <sz val="8"/>
      <color rgb="FF454545"/>
      <name val="Arial"/>
      <family val="2"/>
    </font>
    <font>
      <b/>
      <sz val="8"/>
      <color rgb="FF454545"/>
      <name val="Arial"/>
      <family val="2"/>
    </font>
    <font>
      <sz val="10"/>
      <color theme="1"/>
      <name val="Arial"/>
      <family val="2"/>
    </font>
    <font>
      <sz val="10"/>
      <color rgb="FF454545"/>
      <name val="Arial"/>
      <family val="2"/>
    </font>
    <font>
      <sz val="8"/>
      <name val="Calibri"/>
      <family val="2"/>
      <scheme val="minor"/>
    </font>
    <font>
      <b/>
      <sz val="8"/>
      <color rgb="FF454545"/>
      <name val="Andale WT"/>
      <family val="2"/>
    </font>
    <font>
      <sz val="8"/>
      <color rgb="FF454545"/>
      <name val="Andale WT"/>
      <family val="2"/>
    </font>
  </fonts>
  <fills count="6">
    <fill>
      <patternFill patternType="none"/>
    </fill>
    <fill>
      <patternFill patternType="gray125"/>
    </fill>
    <fill>
      <patternFill patternType="solid">
        <fgColor rgb="FF6699FF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rgb="FFB3B3B3"/>
      </bottom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/>
      <diagonal/>
    </border>
    <border>
      <left style="medium">
        <color rgb="FFE2E2E2"/>
      </left>
      <right style="medium">
        <color rgb="FFE2E2E2"/>
      </right>
      <top/>
      <bottom style="medium">
        <color rgb="FFE2E2E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E2E2E2"/>
      </left>
      <right/>
      <top/>
      <bottom style="medium">
        <color rgb="FFE2E2E2"/>
      </bottom>
      <diagonal/>
    </border>
    <border>
      <left style="medium">
        <color rgb="FFE2E2E2"/>
      </left>
      <right style="medium">
        <color rgb="FFE2E2E2"/>
      </right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3" fillId="2" borderId="2" xfId="0" applyFont="1" applyFill="1" applyBorder="1" applyAlignment="1">
      <alignment horizontal="center" vertical="top"/>
    </xf>
    <xf numFmtId="0" fontId="4" fillId="0" borderId="3" xfId="0" applyFont="1" applyBorder="1" applyAlignment="1">
      <alignment horizontal="right" vertical="top"/>
    </xf>
    <xf numFmtId="0" fontId="6" fillId="0" borderId="0" xfId="0" applyFont="1"/>
    <xf numFmtId="0" fontId="7" fillId="0" borderId="0" xfId="0" applyFont="1" applyAlignment="1">
      <alignment horizontal="left" vertical="top"/>
    </xf>
    <xf numFmtId="0" fontId="0" fillId="4" borderId="0" xfId="0" applyFill="1"/>
    <xf numFmtId="164" fontId="5" fillId="4" borderId="0" xfId="0" applyNumberFormat="1" applyFont="1" applyFill="1" applyAlignment="1">
      <alignment horizontal="center" vertical="top"/>
    </xf>
    <xf numFmtId="0" fontId="5" fillId="4" borderId="0" xfId="0" applyFont="1" applyFill="1" applyAlignment="1">
      <alignment horizontal="center" vertical="top"/>
    </xf>
    <xf numFmtId="0" fontId="5" fillId="4" borderId="0" xfId="0" applyFont="1" applyFill="1" applyAlignment="1">
      <alignment horizontal="right" vertical="top"/>
    </xf>
    <xf numFmtId="165" fontId="1" fillId="4" borderId="0" xfId="0" applyNumberFormat="1" applyFont="1" applyFill="1" applyAlignment="1">
      <alignment horizontal="center"/>
    </xf>
    <xf numFmtId="0" fontId="5" fillId="0" borderId="3" xfId="0" applyFont="1" applyBorder="1" applyAlignment="1">
      <alignment horizontal="center" vertical="center"/>
    </xf>
    <xf numFmtId="164" fontId="5" fillId="3" borderId="3" xfId="0" applyNumberFormat="1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/>
    </xf>
    <xf numFmtId="164" fontId="5" fillId="0" borderId="3" xfId="0" applyNumberFormat="1" applyFont="1" applyBorder="1" applyAlignment="1">
      <alignment horizontal="center" vertical="top"/>
    </xf>
    <xf numFmtId="165" fontId="5" fillId="0" borderId="3" xfId="0" applyNumberFormat="1" applyFont="1" applyBorder="1" applyAlignment="1">
      <alignment horizontal="right" vertical="top"/>
    </xf>
    <xf numFmtId="165" fontId="5" fillId="0" borderId="5" xfId="0" applyNumberFormat="1" applyFont="1" applyBorder="1" applyAlignment="1">
      <alignment horizontal="right" vertical="top"/>
    </xf>
    <xf numFmtId="165" fontId="5" fillId="5" borderId="4" xfId="0" applyNumberFormat="1" applyFont="1" applyFill="1" applyBorder="1" applyAlignment="1">
      <alignment horizontal="center" vertical="top"/>
    </xf>
    <xf numFmtId="2" fontId="5" fillId="3" borderId="3" xfId="0" applyNumberFormat="1" applyFont="1" applyFill="1" applyBorder="1" applyAlignment="1">
      <alignment horizontal="center" vertical="center"/>
    </xf>
    <xf numFmtId="0" fontId="4" fillId="0" borderId="3" xfId="0" applyFont="1" applyBorder="1" applyAlignment="1">
      <alignment horizontal="right" vertical="top" wrapText="1"/>
    </xf>
    <xf numFmtId="2" fontId="5" fillId="3" borderId="6" xfId="0" applyNumberFormat="1" applyFont="1" applyFill="1" applyBorder="1" applyAlignment="1">
      <alignment horizontal="center" vertical="center"/>
    </xf>
    <xf numFmtId="166" fontId="10" fillId="0" borderId="0" xfId="0" applyNumberFormat="1" applyFont="1" applyAlignment="1">
      <alignment horizontal="right" vertical="top"/>
    </xf>
    <xf numFmtId="164" fontId="9" fillId="0" borderId="3" xfId="0" applyNumberFormat="1" applyFont="1" applyBorder="1" applyAlignment="1">
      <alignment horizontal="right" vertical="top"/>
    </xf>
    <xf numFmtId="0" fontId="10" fillId="0" borderId="3" xfId="0" applyFont="1" applyBorder="1" applyAlignment="1">
      <alignment horizontal="left" vertical="top"/>
    </xf>
    <xf numFmtId="166" fontId="10" fillId="0" borderId="3" xfId="0" applyNumberFormat="1" applyFont="1" applyBorder="1" applyAlignment="1">
      <alignment horizontal="right" vertical="top"/>
    </xf>
    <xf numFmtId="166" fontId="10" fillId="4" borderId="3" xfId="0" applyNumberFormat="1" applyFont="1" applyFill="1" applyBorder="1" applyAlignment="1">
      <alignment horizontal="right" vertical="top"/>
    </xf>
    <xf numFmtId="166" fontId="10" fillId="0" borderId="0" xfId="0" applyNumberFormat="1" applyFont="1" applyBorder="1" applyAlignment="1">
      <alignment horizontal="right" vertical="top"/>
    </xf>
    <xf numFmtId="164" fontId="9" fillId="0" borderId="3" xfId="0" applyNumberFormat="1" applyFont="1" applyFill="1" applyBorder="1" applyAlignment="1">
      <alignment horizontal="right" vertical="top"/>
    </xf>
    <xf numFmtId="0" fontId="10" fillId="0" borderId="3" xfId="0" applyFont="1" applyFill="1" applyBorder="1" applyAlignment="1">
      <alignment horizontal="left" vertical="top"/>
    </xf>
    <xf numFmtId="166" fontId="10" fillId="0" borderId="3" xfId="0" applyNumberFormat="1" applyFont="1" applyFill="1" applyBorder="1" applyAlignment="1">
      <alignment horizontal="right" vertical="top"/>
    </xf>
    <xf numFmtId="0" fontId="4" fillId="0" borderId="3" xfId="0" applyFont="1" applyFill="1" applyBorder="1" applyAlignment="1">
      <alignment horizontal="right" vertical="top" wrapText="1"/>
    </xf>
    <xf numFmtId="0" fontId="4" fillId="0" borderId="3" xfId="0" applyFont="1" applyFill="1" applyBorder="1" applyAlignment="1">
      <alignment horizontal="right" vertical="top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9E8B7-D96C-4A0A-9087-5FDDEAAC6912}">
  <sheetPr>
    <pageSetUpPr fitToPage="1"/>
  </sheetPr>
  <dimension ref="A1:G43"/>
  <sheetViews>
    <sheetView tabSelected="1" topLeftCell="A28" zoomScale="130" zoomScaleNormal="130" workbookViewId="0">
      <selection activeCell="D8" sqref="D8"/>
    </sheetView>
  </sheetViews>
  <sheetFormatPr baseColWidth="10" defaultRowHeight="15"/>
  <cols>
    <col min="1" max="1" width="12.42578125" customWidth="1"/>
    <col min="2" max="2" width="15.28515625" customWidth="1"/>
    <col min="3" max="4" width="12.28515625" customWidth="1"/>
    <col min="5" max="5" width="11.7109375" customWidth="1"/>
    <col min="6" max="6" width="30.85546875" customWidth="1"/>
  </cols>
  <sheetData>
    <row r="1" spans="1:6">
      <c r="A1" s="31" t="s">
        <v>11</v>
      </c>
      <c r="B1" s="31"/>
      <c r="C1" s="31"/>
      <c r="D1" s="31"/>
      <c r="E1" s="31"/>
      <c r="F1" s="31"/>
    </row>
    <row r="2" spans="1:6" ht="15.75" thickBot="1"/>
    <row r="3" spans="1:6">
      <c r="A3" s="1" t="s">
        <v>0</v>
      </c>
      <c r="B3" s="1" t="s">
        <v>1</v>
      </c>
      <c r="C3" s="1" t="s">
        <v>2</v>
      </c>
      <c r="D3" s="1" t="s">
        <v>3</v>
      </c>
      <c r="E3" s="1" t="s">
        <v>5</v>
      </c>
      <c r="F3" s="1" t="s">
        <v>4</v>
      </c>
    </row>
    <row r="4" spans="1:6" ht="15.75" thickBot="1">
      <c r="A4" s="2"/>
      <c r="B4" s="21" t="s">
        <v>14</v>
      </c>
      <c r="C4" s="22"/>
      <c r="D4" s="23">
        <v>124.5</v>
      </c>
      <c r="E4" s="23"/>
      <c r="F4" s="18"/>
    </row>
    <row r="5" spans="1:6" ht="15.75" thickBot="1">
      <c r="A5" s="2"/>
      <c r="B5" s="21" t="s">
        <v>15</v>
      </c>
      <c r="C5" s="22"/>
      <c r="D5" s="23">
        <v>119.00000000000001</v>
      </c>
      <c r="E5" s="23"/>
      <c r="F5" s="18"/>
    </row>
    <row r="6" spans="1:6" ht="15.75" thickBot="1">
      <c r="A6" s="2"/>
      <c r="B6" s="21" t="s">
        <v>16</v>
      </c>
      <c r="C6" s="22"/>
      <c r="D6" s="23">
        <v>120.99999999999999</v>
      </c>
      <c r="E6" s="23"/>
      <c r="F6" s="18"/>
    </row>
    <row r="7" spans="1:6" ht="15.75" thickBot="1">
      <c r="A7" s="2"/>
      <c r="B7" s="21" t="s">
        <v>17</v>
      </c>
      <c r="C7" s="22"/>
      <c r="D7" s="23">
        <v>154.49999999999997</v>
      </c>
      <c r="E7" s="23"/>
      <c r="F7" s="18"/>
    </row>
    <row r="8" spans="1:6" ht="15.75" thickBot="1">
      <c r="A8" s="2"/>
      <c r="B8" s="21" t="s">
        <v>18</v>
      </c>
      <c r="C8" s="22"/>
      <c r="D8" s="23">
        <f>162.5-E8</f>
        <v>153.5</v>
      </c>
      <c r="E8" s="23">
        <v>9</v>
      </c>
      <c r="F8" s="18" t="s">
        <v>34</v>
      </c>
    </row>
    <row r="9" spans="1:6" ht="15.75" thickBot="1">
      <c r="A9" s="2"/>
      <c r="B9" s="21" t="s">
        <v>19</v>
      </c>
      <c r="C9" s="22"/>
      <c r="D9" s="23">
        <f>161.74-E9</f>
        <v>152.74</v>
      </c>
      <c r="E9" s="23">
        <v>9</v>
      </c>
      <c r="F9" s="18" t="s">
        <v>35</v>
      </c>
    </row>
    <row r="10" spans="1:6" ht="15.75" thickBot="1">
      <c r="A10" s="2"/>
      <c r="B10" s="21" t="s">
        <v>20</v>
      </c>
      <c r="C10" s="22"/>
      <c r="D10" s="23">
        <v>133.00000000000003</v>
      </c>
      <c r="E10" s="23"/>
      <c r="F10" s="18"/>
    </row>
    <row r="11" spans="1:6" ht="15.75" thickBot="1">
      <c r="A11" s="2"/>
      <c r="B11" s="21" t="s">
        <v>21</v>
      </c>
      <c r="C11" s="22"/>
      <c r="D11" s="23">
        <v>110.50000000000001</v>
      </c>
      <c r="E11" s="23"/>
      <c r="F11" s="18"/>
    </row>
    <row r="12" spans="1:6" ht="15.75" thickBot="1">
      <c r="A12" s="2"/>
      <c r="B12" s="21" t="s">
        <v>22</v>
      </c>
      <c r="C12" s="22"/>
      <c r="D12" s="23">
        <v>114</v>
      </c>
      <c r="E12" s="23"/>
      <c r="F12" s="18"/>
    </row>
    <row r="13" spans="1:6" ht="15.75" thickBot="1">
      <c r="A13" s="2"/>
      <c r="B13" s="21" t="s">
        <v>23</v>
      </c>
      <c r="C13" s="22"/>
      <c r="D13" s="23">
        <v>108.50000000000003</v>
      </c>
      <c r="E13" s="23"/>
      <c r="F13" s="18"/>
    </row>
    <row r="14" spans="1:6" ht="15.75" thickBot="1">
      <c r="A14" s="2"/>
      <c r="B14" s="21" t="s">
        <v>24</v>
      </c>
      <c r="C14" s="22"/>
      <c r="D14" s="23">
        <v>152</v>
      </c>
      <c r="E14" s="23"/>
      <c r="F14" s="18"/>
    </row>
    <row r="15" spans="1:6" ht="15.75" thickBot="1">
      <c r="A15" s="2"/>
      <c r="B15" s="21" t="s">
        <v>25</v>
      </c>
      <c r="C15" s="22"/>
      <c r="D15" s="23">
        <f>146.62-E15</f>
        <v>137.62</v>
      </c>
      <c r="E15" s="23">
        <v>9</v>
      </c>
      <c r="F15" s="18" t="s">
        <v>12</v>
      </c>
    </row>
    <row r="16" spans="1:6" ht="15.75" thickBot="1">
      <c r="A16" s="2"/>
      <c r="B16" s="21" t="s">
        <v>26</v>
      </c>
      <c r="C16" s="22"/>
      <c r="D16" s="23">
        <f>151.5-E16</f>
        <v>142.5</v>
      </c>
      <c r="E16" s="23">
        <v>9</v>
      </c>
      <c r="F16" s="18" t="s">
        <v>36</v>
      </c>
    </row>
    <row r="17" spans="1:6" ht="15.75" thickBot="1">
      <c r="A17" s="2"/>
      <c r="B17" s="26" t="s">
        <v>27</v>
      </c>
      <c r="C17" s="27"/>
      <c r="D17" s="28">
        <f>134.72-8</f>
        <v>126.72</v>
      </c>
      <c r="E17" s="28">
        <v>22</v>
      </c>
      <c r="F17" s="29" t="s">
        <v>37</v>
      </c>
    </row>
    <row r="18" spans="1:6" ht="15.75" thickBot="1">
      <c r="A18" s="2"/>
      <c r="B18" s="26" t="s">
        <v>28</v>
      </c>
      <c r="C18" s="27"/>
      <c r="D18" s="28">
        <v>111.5</v>
      </c>
      <c r="E18" s="28"/>
      <c r="F18" s="29"/>
    </row>
    <row r="19" spans="1:6" ht="15.75" thickBot="1">
      <c r="A19" s="2"/>
      <c r="B19" s="26" t="s">
        <v>29</v>
      </c>
      <c r="C19" s="27"/>
      <c r="D19" s="28">
        <v>101.08</v>
      </c>
      <c r="E19" s="28"/>
      <c r="F19" s="29"/>
    </row>
    <row r="20" spans="1:6" ht="15.75" thickBot="1">
      <c r="A20" s="2"/>
      <c r="B20" s="26" t="s">
        <v>30</v>
      </c>
      <c r="C20" s="27"/>
      <c r="D20" s="28">
        <v>105.87</v>
      </c>
      <c r="E20" s="28"/>
      <c r="F20" s="29"/>
    </row>
    <row r="21" spans="1:6" ht="15.75" thickBot="1">
      <c r="A21" s="30"/>
      <c r="B21" s="26" t="s">
        <v>31</v>
      </c>
      <c r="C21" s="27"/>
      <c r="D21" s="28">
        <v>131.25</v>
      </c>
      <c r="E21" s="28"/>
      <c r="F21" s="29"/>
    </row>
    <row r="22" spans="1:6" ht="15.75" thickBot="1">
      <c r="A22" s="2"/>
      <c r="B22" s="26" t="s">
        <v>32</v>
      </c>
      <c r="C22" s="27"/>
      <c r="D22" s="28">
        <f>142-E22</f>
        <v>133</v>
      </c>
      <c r="E22" s="28">
        <v>9</v>
      </c>
      <c r="F22" s="29" t="s">
        <v>13</v>
      </c>
    </row>
    <row r="23" spans="1:6" ht="15.75" thickBot="1">
      <c r="A23" s="2"/>
      <c r="B23" s="26" t="s">
        <v>33</v>
      </c>
      <c r="C23" s="27"/>
      <c r="D23" s="28">
        <f>141-E23</f>
        <v>132</v>
      </c>
      <c r="E23" s="28">
        <v>9</v>
      </c>
      <c r="F23" s="29" t="s">
        <v>13</v>
      </c>
    </row>
    <row r="24" spans="1:6" ht="15.75" thickBot="1">
      <c r="A24" s="2"/>
      <c r="B24" s="21" t="s">
        <v>38</v>
      </c>
      <c r="C24" s="22"/>
      <c r="D24" s="23">
        <v>133.33000000000001</v>
      </c>
      <c r="E24" s="23"/>
      <c r="F24" s="18"/>
    </row>
    <row r="25" spans="1:6" ht="15.75" thickBot="1">
      <c r="A25" s="2"/>
      <c r="B25" s="21" t="s">
        <v>39</v>
      </c>
      <c r="C25" s="22"/>
      <c r="D25" s="23">
        <v>101.25</v>
      </c>
      <c r="E25" s="23"/>
      <c r="F25" s="18"/>
    </row>
    <row r="26" spans="1:6" ht="15.75" thickBot="1">
      <c r="A26" s="2"/>
      <c r="B26" s="21" t="s">
        <v>40</v>
      </c>
      <c r="C26" s="22"/>
      <c r="D26" s="23">
        <v>113.72000000000006</v>
      </c>
      <c r="E26" s="23"/>
      <c r="F26" s="18"/>
    </row>
    <row r="27" spans="1:6" ht="15.75" thickBot="1">
      <c r="A27" s="2"/>
      <c r="B27" s="21" t="s">
        <v>41</v>
      </c>
      <c r="C27" s="22"/>
      <c r="D27" s="23">
        <v>108.5</v>
      </c>
      <c r="E27" s="23"/>
      <c r="F27" s="18"/>
    </row>
    <row r="28" spans="1:6" ht="15.75" thickBot="1">
      <c r="A28" s="2"/>
      <c r="B28" s="21" t="s">
        <v>42</v>
      </c>
      <c r="C28" s="22"/>
      <c r="D28" s="23">
        <v>135</v>
      </c>
      <c r="E28" s="23"/>
      <c r="F28" s="18"/>
    </row>
    <row r="29" spans="1:6" ht="15.75" thickBot="1">
      <c r="A29" s="2"/>
      <c r="B29" s="21" t="s">
        <v>43</v>
      </c>
      <c r="C29" s="22"/>
      <c r="D29" s="23">
        <f>123.5-E29</f>
        <v>114.5</v>
      </c>
      <c r="E29" s="23">
        <v>9</v>
      </c>
      <c r="F29" s="18" t="s">
        <v>45</v>
      </c>
    </row>
    <row r="30" spans="1:6" ht="15.75" customHeight="1" thickBot="1">
      <c r="A30" s="2"/>
      <c r="B30" s="21" t="s">
        <v>44</v>
      </c>
      <c r="C30" s="22"/>
      <c r="D30" s="23">
        <f>146.5-E30</f>
        <v>137</v>
      </c>
      <c r="E30" s="23">
        <v>9.5</v>
      </c>
      <c r="F30" s="18" t="s">
        <v>45</v>
      </c>
    </row>
    <row r="31" spans="1:6" ht="15.75" thickBot="1">
      <c r="A31" s="2"/>
      <c r="B31" s="21" t="s">
        <v>46</v>
      </c>
      <c r="C31" s="22"/>
      <c r="D31" s="24">
        <v>108</v>
      </c>
      <c r="E31" s="23"/>
      <c r="F31" s="18"/>
    </row>
    <row r="32" spans="1:6" ht="15.75" thickBot="1">
      <c r="A32" s="2"/>
      <c r="B32" s="21" t="s">
        <v>47</v>
      </c>
      <c r="C32" s="22"/>
      <c r="D32" s="23">
        <v>106.6</v>
      </c>
      <c r="E32" s="23"/>
      <c r="F32" s="18"/>
    </row>
    <row r="33" spans="1:7" ht="15.75" thickBot="1">
      <c r="A33" s="2"/>
      <c r="B33" s="21" t="s">
        <v>48</v>
      </c>
      <c r="C33" s="22"/>
      <c r="D33" s="25">
        <f>96.5-E33</f>
        <v>91.5</v>
      </c>
      <c r="E33" s="23">
        <v>5</v>
      </c>
      <c r="F33" s="18" t="s">
        <v>49</v>
      </c>
    </row>
    <row r="34" spans="1:7" ht="15.75" thickBot="1">
      <c r="A34" s="2"/>
      <c r="B34" s="21" t="s">
        <v>50</v>
      </c>
      <c r="C34" s="2"/>
      <c r="D34" s="20">
        <v>91</v>
      </c>
      <c r="E34" s="23"/>
      <c r="F34" s="18"/>
    </row>
    <row r="35" spans="1:7" ht="15.75" thickBot="1">
      <c r="A35" s="2"/>
      <c r="B35" s="21"/>
      <c r="C35" s="2"/>
      <c r="D35" s="20"/>
      <c r="E35" s="23"/>
      <c r="F35" s="18"/>
    </row>
    <row r="36" spans="1:7" ht="45.75" thickBot="1">
      <c r="A36" s="10"/>
      <c r="B36" s="11" t="s">
        <v>8</v>
      </c>
      <c r="C36" s="12"/>
      <c r="D36" s="17">
        <f>SUM(D4:D35)</f>
        <v>3805.1800000000003</v>
      </c>
      <c r="E36" s="12">
        <f>SUM(E4:E35)</f>
        <v>99.5</v>
      </c>
      <c r="F36" s="19">
        <f>SUM(D36:E36)</f>
        <v>3904.6800000000003</v>
      </c>
    </row>
    <row r="37" spans="1:7" ht="15.75" thickBot="1">
      <c r="A37" s="2"/>
      <c r="B37" s="13" t="s">
        <v>7</v>
      </c>
      <c r="C37" s="2"/>
      <c r="D37" s="14">
        <f>D36*40.38</f>
        <v>153653.16840000002</v>
      </c>
      <c r="E37" s="15">
        <f>E36*42.84</f>
        <v>4262.58</v>
      </c>
      <c r="F37" s="16">
        <f>D37+E37</f>
        <v>157915.74840000001</v>
      </c>
      <c r="G37" s="5"/>
    </row>
    <row r="38" spans="1:7">
      <c r="A38" s="5"/>
      <c r="B38" s="6"/>
      <c r="C38" s="7"/>
      <c r="D38" s="8"/>
      <c r="E38" s="8"/>
      <c r="F38" s="9"/>
      <c r="G38" s="5"/>
    </row>
    <row r="39" spans="1:7">
      <c r="A39" s="4" t="s">
        <v>10</v>
      </c>
    </row>
    <row r="41" spans="1:7">
      <c r="A41" s="3" t="s">
        <v>9</v>
      </c>
    </row>
    <row r="43" spans="1:7">
      <c r="A43" t="s">
        <v>6</v>
      </c>
    </row>
  </sheetData>
  <mergeCells count="1">
    <mergeCell ref="A1:F1"/>
  </mergeCells>
  <phoneticPr fontId="8" type="noConversion"/>
  <printOptions horizontalCentered="1" verticalCentered="1"/>
  <pageMargins left="0.31496062992125984" right="0.31496062992125984" top="0.35433070866141736" bottom="0.74803149606299213" header="0.31496062992125984" footer="0.31496062992125984"/>
  <pageSetup paperSize="9" orientation="portrait" r:id="rId1"/>
  <headerFooter>
    <oddHeader>&amp;R&amp;G</oddHeader>
    <oddFooter>&amp;C&amp;D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Feuil1</vt:lpstr>
      <vt:lpstr>Feuil1!Zone_d_impression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Perrenoud, Dylan</dc:creator>
  <cp:lastModifiedBy>Zumwald, Jérémie</cp:lastModifiedBy>
  <cp:lastPrinted>2022-11-01T11:00:33Z</cp:lastPrinted>
  <dcterms:created xsi:type="dcterms:W3CDTF">2021-01-02T10:15:23Z</dcterms:created>
  <dcterms:modified xsi:type="dcterms:W3CDTF">2023-09-01T05:58:49Z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-1774987773</vt:i4>
  </property>
  <property fmtid="{D5CDD505-2E9C-101B-9397-08002B2CF9AE}" pid="3" name="_NewReviewCycle">
    <vt:lpwstr/>
  </property>
  <property fmtid="{D5CDD505-2E9C-101B-9397-08002B2CF9AE}" pid="4" name="_EmailSubject">
    <vt:lpwstr>commande 136018 / client 198496</vt:lpwstr>
  </property>
  <property fmtid="{D5CDD505-2E9C-101B-9397-08002B2CF9AE}" pid="5" name="_AuthorEmail">
    <vt:lpwstr>Jeremie.Zumwald@ch.issworld.com</vt:lpwstr>
  </property>
  <property fmtid="{D5CDD505-2E9C-101B-9397-08002B2CF9AE}" pid="6" name="_AuthorEmailDisplayName">
    <vt:lpwstr>Zumwald, Jérémie</vt:lpwstr>
  </property>
</Properties>
</file>