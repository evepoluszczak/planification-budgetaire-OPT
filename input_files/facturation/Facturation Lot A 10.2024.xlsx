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4\10 Octobre\"/>
    </mc:Choice>
  </mc:AlternateContent>
  <xr:revisionPtr revIDLastSave="0" documentId="13_ncr:1_{D2818307-B983-4D8D-8CF6-B7838A4DE728}" xr6:coauthVersionLast="47" xr6:coauthVersionMax="47" xr10:uidLastSave="{00000000-0000-0000-0000-000000000000}"/>
  <bookViews>
    <workbookView xWindow="-120" yWindow="-120" windowWidth="29040" windowHeight="15720" xr2:uid="{186A2E8D-9ABD-48A3-A0CB-9419D6C088A6}"/>
  </bookViews>
  <sheets>
    <sheet name="Feuil1" sheetId="1" r:id="rId1"/>
  </sheets>
  <definedNames>
    <definedName name="_xlnm.Print_Area" localSheetId="0">Feuil1!$A$1:$F$43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E36" i="1" l="1"/>
  <c r="E37" i="1" s="1"/>
  <c r="D37" i="1" l="1"/>
  <c r="F36" i="1" l="1"/>
  <c r="F37" i="1"/>
</calcChain>
</file>

<file path=xl/sharedStrings.xml><?xml version="1.0" encoding="utf-8"?>
<sst xmlns="http://schemas.openxmlformats.org/spreadsheetml/2006/main" count="74" uniqueCount="73">
  <si>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</si>
  <si>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</si>
  <si>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</si>
  <si>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</si>
  <si>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</si>
  <si>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</si>
  <si>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</si>
  <si>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</si>
  <si>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</si>
  <si>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40,92-Chf</t>
  </si>
  <si>
    <t>Tarifs horaires coordinateurs : 43,41-chf</t>
  </si>
  <si>
    <t>Rapport des heures Agents du Terminal octobre 2024</t>
  </si>
  <si>
    <t>Total 01.10.2024</t>
  </si>
  <si>
    <t>Total 02.10.2024</t>
  </si>
  <si>
    <t>Total 03.10.2024</t>
  </si>
  <si>
    <t>Total 04.10.2024</t>
  </si>
  <si>
    <t>Total 05.10.2024</t>
  </si>
  <si>
    <t>Total 06.10.2024</t>
  </si>
  <si>
    <t>Total 07.10.2024</t>
  </si>
  <si>
    <t>Total 08.10.2024</t>
  </si>
  <si>
    <t>Total 09.10.2024</t>
  </si>
  <si>
    <t>Total 10.10.2024</t>
  </si>
  <si>
    <t>Total 11.10.2024</t>
  </si>
  <si>
    <t>Total 12.10.2024</t>
  </si>
  <si>
    <t>Total 13.10.2024</t>
  </si>
  <si>
    <t>Total 14.10.2024</t>
  </si>
  <si>
    <t>Total 15.10.2024</t>
  </si>
  <si>
    <t>Total 16.10.2024</t>
  </si>
  <si>
    <t>Total 17.10.2024</t>
  </si>
  <si>
    <t>Total 18.10.2024</t>
  </si>
  <si>
    <t>Total 19.10.2024</t>
  </si>
  <si>
    <t>Total 20.10.2024</t>
  </si>
  <si>
    <t>Total 21.10.2024</t>
  </si>
  <si>
    <t>Total 22.10.2024</t>
  </si>
  <si>
    <t>Total 23.10.2024</t>
  </si>
  <si>
    <t>Total 24.10.2024</t>
  </si>
  <si>
    <t>Total 25.10.2024</t>
  </si>
  <si>
    <t>Total 26.10.2024</t>
  </si>
  <si>
    <t>Total 27.10.2024</t>
  </si>
  <si>
    <t>Total 28.10.2024</t>
  </si>
  <si>
    <t>Total 29.10.2024</t>
  </si>
  <si>
    <t>Total 30.10.2024</t>
  </si>
  <si>
    <t>Atr Jihan/Sara/Diana/Leila</t>
  </si>
  <si>
    <t>Atr Théo/Rita/Kenny/Gregory Coordi Ihsan/Natacha/Guillaume L. Diégo/Xheneta/Leila</t>
  </si>
  <si>
    <t>AtrThéo/Kenny/Guillaume L./Gregory Coordi Leila/Diégo/Lauren/Ihsan</t>
  </si>
  <si>
    <t>Atr Jihan/Kenny/Gregory/Marlène Coordi Leila/Diana/Sara/Diego/Elie/Ihsan/Guillaume B.</t>
  </si>
  <si>
    <t>Atr Jihan/Rita/Kenny/Gregory Coordi Leila/Sara/Xheneta/Diego/Natacha/Guillaume B./Guillaume L./Elie/</t>
  </si>
  <si>
    <t>Atr Rita/Gregory/Marlène/Achille Coordi Ihsan/Guillaume B./Guillaume L./Elie/Xheneta/Sara/Diana</t>
  </si>
  <si>
    <t>Atr Natacha/Théo/Rita/Achille Coordi Ihsan/Guillaume B./Guillaume L./Elie/Lauren/Xheneta/Sara</t>
  </si>
  <si>
    <t>Atr Kenny/Guillaume L./Diego/Pamela Coordi Xheneta/Lauren/Ihsan</t>
  </si>
  <si>
    <t>Atr Guillaume L./Diego/Gregory/Xheneta Coordi Leila/Natacha/Ihsan</t>
  </si>
  <si>
    <t>Atr Rita/Sara/Leila/Stéphane Coordi Ihsan</t>
  </si>
  <si>
    <t>Atr Elie/Sara/Leila/Stéphane Coordi Pamela/Lauren</t>
  </si>
  <si>
    <t>Atr Natacha/Guillaume L./Leila/Stephane Coordi Pamela</t>
  </si>
  <si>
    <t>Atr Ihsan/Jihan/Elie/Stéphane Coordi Xheneta/Diana</t>
  </si>
  <si>
    <t>Atr Jihan/Xheneta/Sara/Leila Coordi Ihsan</t>
  </si>
  <si>
    <t>Atr Kenny/Xheneta/Sara/Diana</t>
  </si>
  <si>
    <t>Atr Kenny/Sara/Diego/Xheneta</t>
  </si>
  <si>
    <t>Atr Leila/Stephane/Diana/Diego</t>
  </si>
  <si>
    <t>Atr Kenny/Elie/Pamela/Sara</t>
  </si>
  <si>
    <t>Atr Guillaume B./Pamela/Sara/Diana</t>
  </si>
  <si>
    <t>Atr Kenny/Heeral/Guillaume L./Achille</t>
  </si>
  <si>
    <t>Atr Xheneta/Diana/Leila/Sara + Séance ATR</t>
  </si>
  <si>
    <t>Atr Théo/Rita/Kenny/Guillaume L.</t>
  </si>
  <si>
    <t>Atr Alexandra/Diego/Sara/Leila</t>
  </si>
  <si>
    <t>Atr Guillaume B./Kenny/Alexandra/Sara</t>
  </si>
  <si>
    <t>Atr Natacha/Elie/Gregory/Marlène</t>
  </si>
  <si>
    <t>Atr Guillaume B./Kenny/Lauren/Pamela</t>
  </si>
  <si>
    <t>Atr Diego/Marlène/Diana/Stéphane</t>
  </si>
  <si>
    <t>Atr Guilaume L./Marlène/Diana/Stephane</t>
  </si>
  <si>
    <t>Atr Guillaume L./Diana/Leila/Stephane</t>
  </si>
  <si>
    <t>Total 31.10.2024</t>
  </si>
  <si>
    <t>Atr Diego/Leila/Stephane/Guillaume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</si>
</sst>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.00\ &quot;CHF&quot;"/>
    <numFmt numFmtId="166" formatCode="#,##0.00;\-#,##0.00;\ \.\ \ "/>
    <numFmt numFmtId="167" formatCode="#,##0.00_ ;\-#,##0.00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5" fillId="3" borderId="3" xfId="0" applyNumberFormat="1" applyFont="1" applyFill="1" applyBorder="1" applyAlignment="1">
      <alignment horizontal="center" vertical="center"/>
    </xf>
    <xf numFmtId="167" fontId="5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top" wrapText="1"/>
    </xf>
    <xf numFmtId="0" fontId="10" fillId="0" borderId="3" xfId="0" applyFont="1" applyBorder="1" applyAlignment="1">
      <alignment horizontal="center" vertical="top"/>
    </xf>
    <xf numFmtId="166" fontId="10" fillId="0" borderId="0" xfId="0" applyNumberFormat="1" applyFont="1" applyAlignment="1">
      <alignment horizontal="center" vertical="top"/>
    </xf>
    <xf numFmtId="166" fontId="10" fillId="0" borderId="3" xfId="0" applyNumberFormat="1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164" fontId="9" fillId="0" borderId="3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I43"/>
  <sheetViews>
    <sheetView tabSelected="1" topLeftCell="A22" zoomScale="130" zoomScaleNormal="130" workbookViewId="0">
      <selection activeCell="H30" sqref="H30"/>
    </sheetView>
  </sheetViews>
  <sheetFormatPr baseColWidth="10" defaultRowHeight="15"/>
  <cols>
    <col min="1" max="1" width="12.42578125" customWidth="1"/>
    <col min="2" max="2" width="15.28515625" customWidth="1"/>
    <col min="3" max="3" width="14.42578125" customWidth="1"/>
    <col min="4" max="4" width="13.42578125" customWidth="1"/>
    <col min="5" max="5" width="11.7109375" customWidth="1"/>
    <col min="6" max="6" width="36.7109375" customWidth="1"/>
  </cols>
  <sheetData>
    <row r="1" spans="1:9">
      <c r="A1" s="29" t="s">
        <v>11</v>
      </c>
      <c r="B1" s="29"/>
      <c r="C1" s="29"/>
      <c r="D1" s="29"/>
      <c r="E1" s="29"/>
      <c r="F1" s="29"/>
    </row>
    <row r="2" spans="1:9" ht="15.75" thickBot="1"/>
    <row r="3" spans="1:9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9" ht="23.25" thickBot="1">
      <c r="A4" s="2"/>
      <c r="B4" s="27" t="s">
        <v>12</v>
      </c>
      <c r="C4" s="19"/>
      <c r="D4" s="24">
        <v>343.36</v>
      </c>
      <c r="E4" s="26">
        <v>75.5</v>
      </c>
      <c r="F4" s="17" t="s">
        <v>43</v>
      </c>
      <c r="G4" s="20"/>
      <c r="H4" s="20"/>
      <c r="I4" s="20"/>
    </row>
    <row r="5" spans="1:9" ht="23.25" thickBot="1">
      <c r="A5" s="2"/>
      <c r="B5" s="27" t="s">
        <v>13</v>
      </c>
      <c r="C5" s="19"/>
      <c r="D5" s="24">
        <v>279.91999999999996</v>
      </c>
      <c r="E5" s="26">
        <v>60.5</v>
      </c>
      <c r="F5" s="17" t="s">
        <v>44</v>
      </c>
      <c r="G5" s="20"/>
      <c r="H5" s="20"/>
      <c r="I5" s="20"/>
    </row>
    <row r="6" spans="1:9" ht="23.25" thickBot="1">
      <c r="A6" s="2"/>
      <c r="B6" s="27" t="s">
        <v>14</v>
      </c>
      <c r="C6" s="19"/>
      <c r="D6" s="24">
        <v>376.6600000000002</v>
      </c>
      <c r="E6" s="26">
        <v>83.5</v>
      </c>
      <c r="F6" s="17" t="s">
        <v>45</v>
      </c>
      <c r="G6" s="20"/>
      <c r="H6" s="20"/>
      <c r="I6" s="20"/>
    </row>
    <row r="7" spans="1:9" ht="34.5" thickBot="1">
      <c r="A7" s="2"/>
      <c r="B7" s="27" t="s">
        <v>15</v>
      </c>
      <c r="C7" s="19"/>
      <c r="D7" s="24">
        <v>366.5</v>
      </c>
      <c r="E7" s="26">
        <v>91.5</v>
      </c>
      <c r="F7" s="17" t="s">
        <v>46</v>
      </c>
      <c r="G7" s="20"/>
      <c r="H7" s="20"/>
      <c r="I7" s="20"/>
    </row>
    <row r="8" spans="1:9" ht="34.5" thickBot="1">
      <c r="A8" s="2"/>
      <c r="B8" s="27" t="s">
        <v>16</v>
      </c>
      <c r="C8" s="19"/>
      <c r="D8" s="24">
        <v>332.75000000000006</v>
      </c>
      <c r="E8" s="26">
        <v>81.75</v>
      </c>
      <c r="F8" s="17" t="s">
        <v>47</v>
      </c>
      <c r="G8" s="20"/>
      <c r="H8" s="20"/>
      <c r="I8" s="20"/>
    </row>
    <row r="9" spans="1:9" ht="34.5" thickBot="1">
      <c r="A9" s="2"/>
      <c r="B9" s="27" t="s">
        <v>17</v>
      </c>
      <c r="C9" s="19"/>
      <c r="D9" s="24">
        <v>305.25</v>
      </c>
      <c r="E9" s="26">
        <v>76</v>
      </c>
      <c r="F9" s="17" t="s">
        <v>48</v>
      </c>
      <c r="G9" s="20"/>
      <c r="H9" s="20"/>
      <c r="I9" s="20"/>
    </row>
    <row r="10" spans="1:9" ht="23.25" thickBot="1">
      <c r="A10" s="2"/>
      <c r="B10" s="27" t="s">
        <v>18</v>
      </c>
      <c r="C10" s="19"/>
      <c r="D10" s="24">
        <v>266.58000000000004</v>
      </c>
      <c r="E10" s="26">
        <v>49.25</v>
      </c>
      <c r="F10" s="17" t="s">
        <v>49</v>
      </c>
      <c r="G10" s="20"/>
      <c r="H10" s="20"/>
      <c r="I10" s="20"/>
    </row>
    <row r="11" spans="1:9" ht="23.25" thickBot="1">
      <c r="A11" s="2"/>
      <c r="B11" s="27" t="s">
        <v>19</v>
      </c>
      <c r="C11" s="19"/>
      <c r="D11" s="24">
        <v>264.13</v>
      </c>
      <c r="E11" s="26">
        <v>53.25</v>
      </c>
      <c r="F11" s="17" t="s">
        <v>50</v>
      </c>
      <c r="G11" s="20"/>
      <c r="H11" s="20"/>
      <c r="I11" s="20"/>
    </row>
    <row r="12" spans="1:9" ht="15.75" thickBot="1">
      <c r="A12" s="2"/>
      <c r="B12" s="27" t="s">
        <v>20</v>
      </c>
      <c r="C12" s="19"/>
      <c r="D12" s="24">
        <v>236.06999999999994</v>
      </c>
      <c r="E12" s="26">
        <v>36.5</v>
      </c>
      <c r="F12" s="17" t="s">
        <v>51</v>
      </c>
      <c r="G12" s="20"/>
      <c r="H12" s="20"/>
      <c r="I12" s="20"/>
    </row>
    <row r="13" spans="1:9" ht="15.75" thickBot="1">
      <c r="A13" s="2"/>
      <c r="B13" s="27" t="s">
        <v>21</v>
      </c>
      <c r="C13" s="19"/>
      <c r="D13" s="24">
        <v>258.49999999999994</v>
      </c>
      <c r="E13" s="26">
        <v>42</v>
      </c>
      <c r="F13" s="17" t="s">
        <v>52</v>
      </c>
      <c r="G13" s="20"/>
      <c r="H13" s="20"/>
      <c r="I13" s="20"/>
    </row>
    <row r="14" spans="1:9" ht="23.25" thickBot="1">
      <c r="A14" s="2"/>
      <c r="B14" s="27" t="s">
        <v>22</v>
      </c>
      <c r="C14" s="19"/>
      <c r="D14" s="24">
        <v>278.75000000000006</v>
      </c>
      <c r="E14" s="26">
        <v>37</v>
      </c>
      <c r="F14" s="17" t="s">
        <v>53</v>
      </c>
      <c r="G14" s="20"/>
      <c r="H14" s="20"/>
      <c r="I14" s="20"/>
    </row>
    <row r="15" spans="1:9" ht="15.75" thickBot="1">
      <c r="A15" s="2"/>
      <c r="B15" s="27" t="s">
        <v>23</v>
      </c>
      <c r="C15" s="19"/>
      <c r="D15" s="24">
        <v>283.60000000000008</v>
      </c>
      <c r="E15" s="26">
        <v>44.75</v>
      </c>
      <c r="F15" s="17" t="s">
        <v>54</v>
      </c>
      <c r="G15" s="20"/>
      <c r="H15" s="20"/>
      <c r="I15" s="20"/>
    </row>
    <row r="16" spans="1:9" ht="15.75" thickBot="1">
      <c r="A16" s="2"/>
      <c r="B16" s="27" t="s">
        <v>24</v>
      </c>
      <c r="C16" s="19"/>
      <c r="D16" s="24">
        <v>279.5</v>
      </c>
      <c r="E16" s="26">
        <v>36.5</v>
      </c>
      <c r="F16" s="17" t="s">
        <v>55</v>
      </c>
      <c r="G16" s="20"/>
      <c r="H16" s="20"/>
      <c r="I16" s="20"/>
    </row>
    <row r="17" spans="1:9" ht="15.75" thickBot="1">
      <c r="A17" s="2"/>
      <c r="B17" s="27" t="s">
        <v>25</v>
      </c>
      <c r="C17" s="19"/>
      <c r="D17" s="24">
        <v>235.49999999999991</v>
      </c>
      <c r="E17" s="26">
        <v>30.5</v>
      </c>
      <c r="F17" s="17" t="s">
        <v>56</v>
      </c>
      <c r="G17" s="20"/>
      <c r="H17" s="20"/>
      <c r="I17" s="20"/>
    </row>
    <row r="18" spans="1:9" ht="15.75" thickBot="1">
      <c r="A18" s="2"/>
      <c r="B18" s="28" t="s">
        <v>26</v>
      </c>
      <c r="C18" s="20"/>
      <c r="D18" s="24">
        <v>226.49999999999997</v>
      </c>
      <c r="E18" s="26">
        <v>30.5</v>
      </c>
      <c r="F18" s="17" t="s">
        <v>57</v>
      </c>
      <c r="G18" s="20"/>
      <c r="H18" s="20"/>
      <c r="I18" s="20"/>
    </row>
    <row r="19" spans="1:9" ht="15.75" thickBot="1">
      <c r="A19" s="2"/>
      <c r="B19" s="28" t="s">
        <v>27</v>
      </c>
      <c r="C19" s="20"/>
      <c r="D19" s="24">
        <v>244.49999999999997</v>
      </c>
      <c r="E19" s="26">
        <v>30.5</v>
      </c>
      <c r="F19" s="17" t="s">
        <v>58</v>
      </c>
      <c r="G19" s="20"/>
      <c r="H19" s="20"/>
      <c r="I19" s="20"/>
    </row>
    <row r="20" spans="1:9" ht="15.75" thickBot="1">
      <c r="A20" s="2"/>
      <c r="B20" s="28" t="s">
        <v>28</v>
      </c>
      <c r="C20" s="20"/>
      <c r="D20" s="24">
        <v>241.00000000000003</v>
      </c>
      <c r="E20" s="26">
        <v>30.5</v>
      </c>
      <c r="F20" s="23" t="s">
        <v>59</v>
      </c>
      <c r="G20" s="20"/>
      <c r="H20" s="20"/>
      <c r="I20" s="20"/>
    </row>
    <row r="21" spans="1:9" ht="15.75" thickBot="1">
      <c r="A21" s="2"/>
      <c r="B21" s="28" t="s">
        <v>29</v>
      </c>
      <c r="C21" s="20"/>
      <c r="D21" s="24">
        <v>274.49999999999989</v>
      </c>
      <c r="E21" s="26">
        <v>30.5</v>
      </c>
      <c r="F21" s="17" t="s">
        <v>60</v>
      </c>
      <c r="G21" s="20"/>
      <c r="H21" s="20"/>
      <c r="I21" s="20"/>
    </row>
    <row r="22" spans="1:9" ht="15.75" thickBot="1">
      <c r="A22" s="2"/>
      <c r="B22" s="28" t="s">
        <v>30</v>
      </c>
      <c r="C22" s="20"/>
      <c r="D22" s="24">
        <v>269</v>
      </c>
      <c r="E22" s="26">
        <v>30.5</v>
      </c>
      <c r="F22" s="17" t="s">
        <v>61</v>
      </c>
      <c r="G22" s="20"/>
      <c r="H22" s="20"/>
      <c r="I22" s="20"/>
    </row>
    <row r="23" spans="1:9" ht="15.75" thickBot="1">
      <c r="A23" s="2"/>
      <c r="B23" s="28" t="s">
        <v>31</v>
      </c>
      <c r="C23" s="20"/>
      <c r="D23" s="24">
        <v>275</v>
      </c>
      <c r="E23" s="26">
        <v>30.5</v>
      </c>
      <c r="F23" s="17" t="s">
        <v>61</v>
      </c>
      <c r="G23" s="20"/>
      <c r="H23" s="20"/>
      <c r="I23" s="20"/>
    </row>
    <row r="24" spans="1:9" ht="15.75" thickBot="1">
      <c r="A24" s="2"/>
      <c r="B24" s="28" t="s">
        <v>32</v>
      </c>
      <c r="C24" s="20"/>
      <c r="D24" s="24">
        <v>289</v>
      </c>
      <c r="E24" s="26">
        <v>55.5</v>
      </c>
      <c r="F24" s="17" t="s">
        <v>62</v>
      </c>
      <c r="G24" s="20"/>
      <c r="H24" s="20"/>
      <c r="I24" s="20"/>
    </row>
    <row r="25" spans="1:9" ht="15.75" thickBot="1">
      <c r="A25" s="2"/>
      <c r="B25" s="28" t="s">
        <v>33</v>
      </c>
      <c r="C25" s="20"/>
      <c r="D25" s="24">
        <v>234.99999999999997</v>
      </c>
      <c r="E25" s="26">
        <v>30.5</v>
      </c>
      <c r="F25" s="17" t="s">
        <v>42</v>
      </c>
      <c r="G25" s="20"/>
      <c r="H25" s="20"/>
      <c r="I25" s="20"/>
    </row>
    <row r="26" spans="1:9" ht="15" customHeight="1" thickBot="1">
      <c r="A26" s="2"/>
      <c r="B26" s="28" t="s">
        <v>34</v>
      </c>
      <c r="C26" s="20"/>
      <c r="D26" s="24">
        <v>234</v>
      </c>
      <c r="E26" s="26">
        <v>30.5</v>
      </c>
      <c r="F26" s="17" t="s">
        <v>63</v>
      </c>
      <c r="G26" s="20"/>
      <c r="H26" s="20"/>
      <c r="I26" s="20"/>
    </row>
    <row r="27" spans="1:9" ht="15" customHeight="1" thickBot="1">
      <c r="A27" s="2"/>
      <c r="B27" s="28" t="s">
        <v>35</v>
      </c>
      <c r="C27" s="20"/>
      <c r="D27" s="24">
        <v>236.9</v>
      </c>
      <c r="E27" s="26">
        <v>30.5</v>
      </c>
      <c r="F27" s="17" t="s">
        <v>64</v>
      </c>
      <c r="G27" s="20"/>
      <c r="H27" s="20"/>
      <c r="I27" s="20"/>
    </row>
    <row r="28" spans="1:9" ht="15" customHeight="1" thickBot="1">
      <c r="A28" s="2"/>
      <c r="B28" s="28" t="s">
        <v>36</v>
      </c>
      <c r="C28" s="20"/>
      <c r="D28" s="24">
        <v>232.00000000000003</v>
      </c>
      <c r="E28" s="26">
        <v>30.5</v>
      </c>
      <c r="F28" s="17" t="s">
        <v>65</v>
      </c>
      <c r="G28" s="20"/>
      <c r="H28" s="20"/>
      <c r="I28" s="20"/>
    </row>
    <row r="29" spans="1:9" ht="15" customHeight="1" thickBot="1">
      <c r="A29" s="2"/>
      <c r="B29" s="28" t="s">
        <v>37</v>
      </c>
      <c r="C29" s="20"/>
      <c r="D29" s="24">
        <v>237</v>
      </c>
      <c r="E29" s="26">
        <v>30.5</v>
      </c>
      <c r="F29" s="17" t="s">
        <v>66</v>
      </c>
      <c r="G29" s="20"/>
      <c r="H29" s="20"/>
      <c r="I29" s="20"/>
    </row>
    <row r="30" spans="1:9" ht="15" customHeight="1" thickBot="1">
      <c r="A30" s="2"/>
      <c r="B30" s="28" t="s">
        <v>38</v>
      </c>
      <c r="C30" s="20"/>
      <c r="D30" s="24">
        <v>258</v>
      </c>
      <c r="E30" s="26">
        <v>30.5</v>
      </c>
      <c r="F30" s="17" t="s">
        <v>67</v>
      </c>
      <c r="G30" s="20"/>
      <c r="H30" s="20"/>
      <c r="I30" s="20"/>
    </row>
    <row r="31" spans="1:9" ht="15" customHeight="1" thickBot="1">
      <c r="A31" s="2"/>
      <c r="B31" s="28" t="s">
        <v>39</v>
      </c>
      <c r="C31" s="20"/>
      <c r="D31" s="24">
        <v>245.50000000000003</v>
      </c>
      <c r="E31" s="26">
        <v>30.5</v>
      </c>
      <c r="F31" s="17" t="s">
        <v>68</v>
      </c>
      <c r="G31" s="20"/>
      <c r="H31" s="20"/>
      <c r="I31" s="20"/>
    </row>
    <row r="32" spans="1:9" ht="15" customHeight="1" thickBot="1">
      <c r="A32" s="2"/>
      <c r="B32" s="28" t="s">
        <v>40</v>
      </c>
      <c r="C32" s="20"/>
      <c r="D32" s="24">
        <v>231.59999999999991</v>
      </c>
      <c r="E32" s="26">
        <v>30.5</v>
      </c>
      <c r="F32" s="17" t="s">
        <v>69</v>
      </c>
      <c r="G32" s="20"/>
      <c r="H32" s="20"/>
      <c r="I32" s="20"/>
    </row>
    <row r="33" spans="1:9" ht="15.75" thickBot="1">
      <c r="A33" s="2"/>
      <c r="B33" s="28" t="s">
        <v>41</v>
      </c>
      <c r="C33" s="2"/>
      <c r="D33" s="24">
        <v>235.49999999999989</v>
      </c>
      <c r="E33" s="26">
        <v>30.5</v>
      </c>
      <c r="F33" s="23" t="s">
        <v>70</v>
      </c>
      <c r="G33" s="20"/>
      <c r="H33" s="20"/>
      <c r="I33" s="20"/>
    </row>
    <row r="34" spans="1:9" ht="15.75" thickBot="1">
      <c r="A34" s="2"/>
      <c r="B34" s="28" t="s">
        <v>71</v>
      </c>
      <c r="C34" s="2"/>
      <c r="D34" s="24">
        <v>245.97</v>
      </c>
      <c r="E34" s="26">
        <v>30.5</v>
      </c>
      <c r="F34" s="17" t="s">
        <v>72</v>
      </c>
      <c r="G34" s="20"/>
      <c r="H34" s="20"/>
      <c r="I34" s="20"/>
    </row>
    <row r="35" spans="1:9" ht="15.75" thickBot="1">
      <c r="A35" s="2"/>
      <c r="B35" s="28"/>
      <c r="C35" s="2"/>
      <c r="D35" s="25"/>
      <c r="E35" s="26"/>
      <c r="F35" s="17"/>
      <c r="G35" s="20"/>
      <c r="H35" s="20"/>
      <c r="I35" s="20"/>
    </row>
    <row r="36" spans="1:9" ht="45.75" thickBot="1">
      <c r="A36" s="10"/>
      <c r="B36" s="11" t="s">
        <v>8</v>
      </c>
      <c r="C36" s="12"/>
      <c r="D36" s="22">
        <f>SUM(D4:D35)-SUM(E4:E35)</f>
        <v>6976.0399999999991</v>
      </c>
      <c r="E36" s="21">
        <f>SUM(E4:E35)</f>
        <v>1342</v>
      </c>
      <c r="F36" s="18">
        <f>SUM(D36:E36)</f>
        <v>8318.0399999999991</v>
      </c>
      <c r="G36" s="20"/>
      <c r="H36" s="20"/>
      <c r="I36" s="20"/>
    </row>
    <row r="37" spans="1:9" ht="15.75" thickBot="1">
      <c r="A37" s="2"/>
      <c r="B37" s="13" t="s">
        <v>7</v>
      </c>
      <c r="C37" s="2"/>
      <c r="D37" s="14">
        <f>D36*40.92</f>
        <v>285459.55679999996</v>
      </c>
      <c r="E37" s="15">
        <f>E36*43.41</f>
        <v>58256.219999999994</v>
      </c>
      <c r="F37" s="16">
        <f>D37+E37</f>
        <v>343715.77679999993</v>
      </c>
      <c r="G37" s="20"/>
      <c r="H37" s="20"/>
      <c r="I37" s="20"/>
    </row>
    <row r="38" spans="1:9">
      <c r="A38" s="5"/>
      <c r="B38" s="6"/>
      <c r="C38" s="7"/>
      <c r="D38" s="8"/>
      <c r="E38" s="8"/>
      <c r="F38" s="9"/>
      <c r="G38" s="5"/>
    </row>
    <row r="39" spans="1:9">
      <c r="A39" s="4" t="s">
        <v>9</v>
      </c>
    </row>
    <row r="41" spans="1:9">
      <c r="A41" s="3" t="s">
        <v>10</v>
      </c>
    </row>
    <row r="43" spans="1:9">
      <c r="A43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2024-11-01T08:32:13Z</dcterms:modified>
</cp:coreProperties>
</file>