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5\05 Mai\"/>
    </mc:Choice>
  </mc:AlternateContent>
  <xr:revisionPtr revIDLastSave="0" documentId="13_ncr:1_{A9733168-B661-4D67-8893-1BB3080CC88C}" xr6:coauthVersionLast="47" xr6:coauthVersionMax="47" xr10:uidLastSave="{00000000-0000-0000-0000-000000000000}"/>
  <bookViews>
    <workbookView xWindow="28680" yWindow="-135" windowWidth="29040" windowHeight="15720" xr2:uid="{186A2E8D-9ABD-48A3-A0CB-9419D6C088A6}"/>
  </bookViews>
  <sheets>
    <sheet name="Mai" sheetId="1" r:id="rId1"/>
  </sheets>
  <externalReferences>
    <externalReference r:id="rId2"/>
  </externalReferences>
  <definedNames>
    <definedName name="_xlnm.Print_Area" localSheetId="0">Mai!$A$1:$F$45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1" l="1"/>
  <c r="D38" i="1" s="1"/>
  <c r="E39" i="1" l="1"/>
  <c r="F38" i="1"/>
  <c r="D39" i="1"/>
  <c r="F39" i="1" l="1"/>
</calcChain>
</file>

<file path=xl/sharedStrings.xml><?xml version="1.0" encoding="utf-8"?>
<sst xmlns="http://schemas.openxmlformats.org/spreadsheetml/2006/main" count="76" uniqueCount="76">
  <si>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</si>
  <si>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</si>
  <si>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</si>
  <si>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</si>
  <si>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</si>
  <si>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</si>
  <si>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</si>
  <si>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</si>
  <si>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</si>
  <si>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41,19-Chf</t>
  </si>
  <si>
    <t>Tarifs horaires coordinateurs : 43,69-chf</t>
  </si>
  <si>
    <t>Total 01.05.2025</t>
  </si>
  <si>
    <t>Total 02.05.2025</t>
  </si>
  <si>
    <t>Total 03.05.2025</t>
  </si>
  <si>
    <t>Total 04.05.2025</t>
  </si>
  <si>
    <t>Total 05.05.2025</t>
  </si>
  <si>
    <t>Total 06.05.2025</t>
  </si>
  <si>
    <t>Total 07.05.2025</t>
  </si>
  <si>
    <t>Total 08.05.2025</t>
  </si>
  <si>
    <t>Total 09.05.2025</t>
  </si>
  <si>
    <t>Total 10.05.2025</t>
  </si>
  <si>
    <t>Total 11.05.2025</t>
  </si>
  <si>
    <t>Total 12.05.2025</t>
  </si>
  <si>
    <t>Total 13.05.2025</t>
  </si>
  <si>
    <t>Total 14.05.2025</t>
  </si>
  <si>
    <t>Total 15.05.2025</t>
  </si>
  <si>
    <t>Total 16.05.2025</t>
  </si>
  <si>
    <t>Total 17.05.2025</t>
  </si>
  <si>
    <t>Total 18.05.2025</t>
  </si>
  <si>
    <t>Total 19.05.2025</t>
  </si>
  <si>
    <t>Total 20.05.2025</t>
  </si>
  <si>
    <t>Total 21.05.2025</t>
  </si>
  <si>
    <t>Total 22.05.2025</t>
  </si>
  <si>
    <t>Total 23.05.2025</t>
  </si>
  <si>
    <t>Total 24.05.2025</t>
  </si>
  <si>
    <t>Total 25.05.2025</t>
  </si>
  <si>
    <t>Rapport des heures Agents du Terminal Mai 2025</t>
  </si>
  <si>
    <t>Total 26.05.2025</t>
  </si>
  <si>
    <t>Total 27.05.2025</t>
  </si>
  <si>
    <t>Total 28.05.2025</t>
  </si>
  <si>
    <t>Total 29.05.2025</t>
  </si>
  <si>
    <t>Formation 21 AT</t>
  </si>
  <si>
    <t>Total 30.05.2025</t>
  </si>
  <si>
    <t>Total 31.05.2025</t>
  </si>
  <si>
    <t>ATR: Alexandra/Diego/Leila/Stephane</t>
  </si>
  <si>
    <t>ATR: Alexandra/Elie/Leila/Stepane</t>
  </si>
  <si>
    <t>ATR: Kenny/Gregory/Sara/Stephane</t>
  </si>
  <si>
    <t>ATR: kenny/Diego/Gregory/Stephane</t>
  </si>
  <si>
    <t>ATR: Théo/Diego/Leila/Stephane</t>
  </si>
  <si>
    <t>ATR: Ihsan/Elie/Diego/Xhenata</t>
  </si>
  <si>
    <t>ATR: Théo/Kenny/Alexandra/Sara</t>
  </si>
  <si>
    <t>ATR: Ihsanullah/Théo/Kenny/Stéphane</t>
  </si>
  <si>
    <t>ATR: Théo/Xheneta/Leila Stéphane</t>
  </si>
  <si>
    <t>ATR: Guilaume/Diego/Gregory/Xheneta</t>
  </si>
  <si>
    <t>ATR: Alexandra/Lauren/Gregory/Xheneta</t>
  </si>
  <si>
    <t>ATR: Ihsan/Théo/Kenny/Stéphane</t>
  </si>
  <si>
    <t xml:space="preserve"> +7 autres agents</t>
  </si>
  <si>
    <t>ATR;Alexandra/Elie/Diego/Sara/Guillaume L</t>
  </si>
  <si>
    <t>ATR: Gregory/Achille/Sara/Leila</t>
  </si>
  <si>
    <t>ATR: Théo/Gregory/Sara/Stéphane</t>
  </si>
  <si>
    <t>ATR: Théo/Alexandra/Gregory/Stephane</t>
  </si>
  <si>
    <t>ATR:Théo/Alexandra/Mario/Stéphane</t>
  </si>
  <si>
    <t>ATR: Kenny/Alexandra/Mario/Achille</t>
  </si>
  <si>
    <t>ATR: Kenny/Alexandra/Sara/Diana</t>
  </si>
  <si>
    <t>ATR: Kenny/Diego/Xheneta/Leila</t>
  </si>
  <si>
    <t>ATR: Théo/Elie/Diego/Leila</t>
  </si>
  <si>
    <t>ATR: Théo/Kenny/Alexandra/Diana</t>
  </si>
  <si>
    <t>ATR: Alexandra/Diego/Xheneta/Diana</t>
  </si>
  <si>
    <t>ATR: Elie/Mario/Xheneta/Diana</t>
  </si>
  <si>
    <t>ATR: Alexandra/AchilleXheneta/Diana</t>
  </si>
  <si>
    <t>ATR: Kenny/Elie/Diana/Diego</t>
  </si>
  <si>
    <t>ATR: Théo/Diego/Gregory/Sara</t>
  </si>
  <si>
    <t>ATR: Diégo/Grégory/Sara Coordi: Elie</t>
  </si>
  <si>
    <t>ATR: Mario/Diégo/Stéphane Coordi: Lauren</t>
  </si>
  <si>
    <t>ATR: Alexandra/Gregory/Sara/Diana</t>
  </si>
  <si>
    <t>ATR: Mario/Gregory/Diana/Stéphane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</si>
</sst>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0" fontId="10" fillId="0" borderId="3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Zumwald\Downloads\ISS%20Time%20Code%20And%20Hour%20Type%20Report%20ab0302b2f.xlsx" TargetMode="External"/><Relationship Id="rId1" Type="http://schemas.openxmlformats.org/officeDocument/2006/relationships/externalLinkPath" Target="file:///C:\Users\JZumwald\Downloads\ISS%20Time%20Code%20And%20Hour%20Type%20Report%20ab0302b2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Data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zoomScale="130" zoomScaleNormal="130" workbookViewId="0">
      <selection activeCell="D39" sqref="D39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  <col min="7" max="7" width="17.5703125" customWidth="1"/>
  </cols>
  <sheetData>
    <row r="1" spans="1:7">
      <c r="A1" s="29" t="s">
        <v>36</v>
      </c>
      <c r="B1" s="29"/>
      <c r="C1" s="29"/>
      <c r="D1" s="29"/>
      <c r="E1" s="29"/>
      <c r="F1" s="29"/>
    </row>
    <row r="2" spans="1:7" ht="15.75" thickBot="1"/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7" ht="15.75" thickBot="1">
      <c r="A4" s="2"/>
      <c r="B4" s="21" t="s">
        <v>11</v>
      </c>
      <c r="C4" s="22"/>
      <c r="D4" s="23">
        <v>216.25000000000003</v>
      </c>
      <c r="E4" s="23">
        <v>30.5</v>
      </c>
      <c r="F4" s="18" t="s">
        <v>44</v>
      </c>
    </row>
    <row r="5" spans="1:7" ht="15.75" thickBot="1">
      <c r="A5" s="2"/>
      <c r="B5" s="21" t="s">
        <v>12</v>
      </c>
      <c r="C5" s="22"/>
      <c r="D5" s="23">
        <v>217.30000000000007</v>
      </c>
      <c r="E5" s="23">
        <v>30.5</v>
      </c>
      <c r="F5" s="18" t="s">
        <v>45</v>
      </c>
    </row>
    <row r="6" spans="1:7" ht="15.75" thickBot="1">
      <c r="A6" s="2"/>
      <c r="B6" s="21" t="s">
        <v>13</v>
      </c>
      <c r="C6" s="22"/>
      <c r="D6" s="23">
        <v>212.25</v>
      </c>
      <c r="E6" s="23">
        <v>30.5</v>
      </c>
      <c r="F6" s="18" t="s">
        <v>46</v>
      </c>
    </row>
    <row r="7" spans="1:7" ht="15.75" thickBot="1">
      <c r="A7" s="2"/>
      <c r="B7" s="21" t="s">
        <v>14</v>
      </c>
      <c r="C7" s="22"/>
      <c r="D7" s="23">
        <v>204.50000000000006</v>
      </c>
      <c r="E7" s="23">
        <v>30.5</v>
      </c>
      <c r="F7" s="18" t="s">
        <v>47</v>
      </c>
    </row>
    <row r="8" spans="1:7" ht="15.75" thickBot="1">
      <c r="A8" s="2"/>
      <c r="B8" s="21" t="s">
        <v>15</v>
      </c>
      <c r="C8" s="22"/>
      <c r="D8" s="23">
        <v>196.24999999999997</v>
      </c>
      <c r="E8" s="23">
        <v>30.5</v>
      </c>
      <c r="F8" s="18" t="s">
        <v>48</v>
      </c>
    </row>
    <row r="9" spans="1:7" ht="15.75" thickBot="1">
      <c r="A9" s="2"/>
      <c r="B9" s="21" t="s">
        <v>16</v>
      </c>
      <c r="C9" s="22"/>
      <c r="D9" s="23">
        <v>239.75000000000009</v>
      </c>
      <c r="E9" s="23">
        <v>30.5</v>
      </c>
      <c r="F9" s="18" t="s">
        <v>49</v>
      </c>
    </row>
    <row r="10" spans="1:7" ht="15.75" thickBot="1">
      <c r="A10" s="2"/>
      <c r="B10" s="21" t="s">
        <v>17</v>
      </c>
      <c r="C10" s="22"/>
      <c r="D10" s="23">
        <v>242.75000000000003</v>
      </c>
      <c r="E10" s="23">
        <v>30.5</v>
      </c>
      <c r="F10" s="18" t="s">
        <v>50</v>
      </c>
    </row>
    <row r="11" spans="1:7" ht="15.75" thickBot="1">
      <c r="A11" s="2"/>
      <c r="B11" s="21" t="s">
        <v>18</v>
      </c>
      <c r="C11" s="22"/>
      <c r="D11" s="23">
        <v>232.79999999999998</v>
      </c>
      <c r="E11" s="23">
        <v>30.5</v>
      </c>
      <c r="F11" s="30" t="s">
        <v>51</v>
      </c>
    </row>
    <row r="12" spans="1:7" ht="15.75" thickBot="1">
      <c r="A12" s="2"/>
      <c r="B12" s="21" t="s">
        <v>19</v>
      </c>
      <c r="C12" s="22"/>
      <c r="D12" s="23">
        <v>233.79999999999998</v>
      </c>
      <c r="E12" s="23">
        <v>30.5</v>
      </c>
      <c r="F12" s="30" t="s">
        <v>52</v>
      </c>
    </row>
    <row r="13" spans="1:7" ht="15.75" thickBot="1">
      <c r="A13" s="2"/>
      <c r="B13" s="21" t="s">
        <v>20</v>
      </c>
      <c r="C13" s="22"/>
      <c r="D13" s="23">
        <v>230.75</v>
      </c>
      <c r="E13" s="23">
        <v>30.5</v>
      </c>
      <c r="F13" s="30" t="s">
        <v>53</v>
      </c>
    </row>
    <row r="14" spans="1:7" ht="15.75" thickBot="1">
      <c r="A14" s="2"/>
      <c r="B14" s="21" t="s">
        <v>21</v>
      </c>
      <c r="C14" s="22"/>
      <c r="D14" s="23">
        <v>224.75</v>
      </c>
      <c r="E14" s="23">
        <v>30.5</v>
      </c>
      <c r="F14" s="30" t="s">
        <v>54</v>
      </c>
    </row>
    <row r="15" spans="1:7" ht="15.75" thickBot="1">
      <c r="A15" s="2"/>
      <c r="B15" s="21" t="s">
        <v>22</v>
      </c>
      <c r="C15" s="22"/>
      <c r="D15" s="23">
        <v>222.24999999999994</v>
      </c>
      <c r="E15" s="23">
        <v>65.5</v>
      </c>
      <c r="F15" s="18" t="s">
        <v>55</v>
      </c>
      <c r="G15" s="18" t="s">
        <v>56</v>
      </c>
    </row>
    <row r="16" spans="1:7" ht="15.75" thickBot="1">
      <c r="A16" s="2"/>
      <c r="B16" s="21" t="s">
        <v>23</v>
      </c>
      <c r="C16" s="22"/>
      <c r="D16" s="23">
        <v>197.05000000000004</v>
      </c>
      <c r="E16" s="23">
        <v>34.5</v>
      </c>
      <c r="F16" s="18" t="s">
        <v>57</v>
      </c>
    </row>
    <row r="17" spans="1:6" ht="15.75" thickBot="1">
      <c r="A17" s="2"/>
      <c r="B17" s="21" t="s">
        <v>24</v>
      </c>
      <c r="C17" s="22"/>
      <c r="D17" s="23">
        <v>210.8</v>
      </c>
      <c r="E17" s="23">
        <v>30.5</v>
      </c>
      <c r="F17" s="18" t="s">
        <v>58</v>
      </c>
    </row>
    <row r="18" spans="1:6" ht="15.75" thickBot="1">
      <c r="A18" s="2"/>
      <c r="B18" s="21" t="s">
        <v>25</v>
      </c>
      <c r="C18" s="22"/>
      <c r="D18" s="23">
        <v>209.00000000000003</v>
      </c>
      <c r="E18" s="23">
        <v>30.5</v>
      </c>
      <c r="F18" s="18" t="s">
        <v>59</v>
      </c>
    </row>
    <row r="19" spans="1:6" ht="15.75" thickBot="1">
      <c r="A19" s="2"/>
      <c r="B19" s="21" t="s">
        <v>26</v>
      </c>
      <c r="C19" s="22"/>
      <c r="D19" s="23">
        <v>245.99999999999994</v>
      </c>
      <c r="E19" s="23">
        <v>30.5</v>
      </c>
      <c r="F19" s="18" t="s">
        <v>60</v>
      </c>
    </row>
    <row r="20" spans="1:6" ht="15.75" thickBot="1">
      <c r="A20" s="2"/>
      <c r="B20" s="21" t="s">
        <v>27</v>
      </c>
      <c r="C20" s="22"/>
      <c r="D20" s="23">
        <v>220.25000000000003</v>
      </c>
      <c r="E20" s="23">
        <v>30.5</v>
      </c>
      <c r="F20" s="18" t="s">
        <v>61</v>
      </c>
    </row>
    <row r="21" spans="1:6" ht="15.75" thickBot="1">
      <c r="A21" s="2"/>
      <c r="B21" s="21" t="s">
        <v>28</v>
      </c>
      <c r="C21" s="22"/>
      <c r="D21" s="23">
        <v>219.50000000000003</v>
      </c>
      <c r="E21" s="23">
        <v>30.5</v>
      </c>
      <c r="F21" s="18" t="s">
        <v>62</v>
      </c>
    </row>
    <row r="22" spans="1:6" ht="15.75" thickBot="1">
      <c r="A22" s="2"/>
      <c r="B22" s="21" t="s">
        <v>29</v>
      </c>
      <c r="C22" s="22"/>
      <c r="D22" s="23">
        <v>223.25000000000003</v>
      </c>
      <c r="E22" s="23">
        <v>30.5</v>
      </c>
      <c r="F22" s="18" t="s">
        <v>63</v>
      </c>
    </row>
    <row r="23" spans="1:6" ht="15.75" thickBot="1">
      <c r="A23" s="2"/>
      <c r="B23" s="21" t="s">
        <v>30</v>
      </c>
      <c r="C23" s="22"/>
      <c r="D23" s="23">
        <v>216.75000000000006</v>
      </c>
      <c r="E23" s="23">
        <v>30.5</v>
      </c>
      <c r="F23" s="18" t="s">
        <v>64</v>
      </c>
    </row>
    <row r="24" spans="1:6" ht="15.75" thickBot="1">
      <c r="A24" s="2"/>
      <c r="B24" s="21" t="s">
        <v>31</v>
      </c>
      <c r="C24" s="22"/>
      <c r="D24" s="23">
        <v>224.25</v>
      </c>
      <c r="E24" s="23">
        <v>30.5</v>
      </c>
      <c r="F24" s="18" t="s">
        <v>65</v>
      </c>
    </row>
    <row r="25" spans="1:6" ht="15.75" thickBot="1">
      <c r="A25" s="2"/>
      <c r="B25" s="21" t="s">
        <v>32</v>
      </c>
      <c r="C25" s="22"/>
      <c r="D25" s="23">
        <v>212.5</v>
      </c>
      <c r="E25" s="23">
        <v>30.5</v>
      </c>
      <c r="F25" s="18" t="s">
        <v>66</v>
      </c>
    </row>
    <row r="26" spans="1:6" ht="15.75" thickBot="1">
      <c r="A26" s="2"/>
      <c r="B26" s="21" t="s">
        <v>33</v>
      </c>
      <c r="C26" s="22"/>
      <c r="D26" s="23">
        <v>223.25</v>
      </c>
      <c r="E26" s="23">
        <v>30.5</v>
      </c>
      <c r="F26" s="18" t="s">
        <v>67</v>
      </c>
    </row>
    <row r="27" spans="1:6" ht="15.75" thickBot="1">
      <c r="A27" s="2"/>
      <c r="B27" s="21" t="s">
        <v>34</v>
      </c>
      <c r="C27" s="22"/>
      <c r="D27" s="23">
        <v>232.75</v>
      </c>
      <c r="E27" s="23">
        <v>30.5</v>
      </c>
      <c r="F27" s="18" t="s">
        <v>68</v>
      </c>
    </row>
    <row r="28" spans="1:6" ht="15.75" thickBot="1">
      <c r="A28" s="2"/>
      <c r="B28" s="21" t="s">
        <v>35</v>
      </c>
      <c r="C28" s="22"/>
      <c r="D28" s="23">
        <v>205.74999999999997</v>
      </c>
      <c r="E28" s="23">
        <v>30.5</v>
      </c>
      <c r="F28" s="18" t="s">
        <v>69</v>
      </c>
    </row>
    <row r="29" spans="1:6" ht="15.75" thickBot="1">
      <c r="A29" s="2"/>
      <c r="B29" s="21" t="s">
        <v>37</v>
      </c>
      <c r="C29" s="22"/>
      <c r="D29" s="23">
        <v>230.5</v>
      </c>
      <c r="E29" s="23">
        <v>30.5</v>
      </c>
      <c r="F29" s="18" t="s">
        <v>70</v>
      </c>
    </row>
    <row r="30" spans="1:6" ht="25.5" customHeight="1" thickBot="1">
      <c r="A30" s="2"/>
      <c r="B30" s="21" t="s">
        <v>38</v>
      </c>
      <c r="C30" s="22"/>
      <c r="D30" s="23">
        <v>221.75</v>
      </c>
      <c r="E30" s="23">
        <v>30.5</v>
      </c>
      <c r="F30" s="18" t="s">
        <v>71</v>
      </c>
    </row>
    <row r="31" spans="1:6" ht="15.75" thickBot="1">
      <c r="A31" s="2"/>
      <c r="B31" s="21" t="s">
        <v>39</v>
      </c>
      <c r="C31" s="22"/>
      <c r="D31" s="24">
        <v>262.75</v>
      </c>
      <c r="E31" s="23">
        <v>39.5</v>
      </c>
      <c r="F31" s="18" t="s">
        <v>73</v>
      </c>
    </row>
    <row r="32" spans="1:6" ht="15.75" thickBot="1">
      <c r="A32" s="2"/>
      <c r="B32" s="21" t="s">
        <v>40</v>
      </c>
      <c r="C32" s="22"/>
      <c r="D32" s="23">
        <v>252.99999999999997</v>
      </c>
      <c r="E32" s="23">
        <v>39.5</v>
      </c>
      <c r="F32" s="18" t="s">
        <v>72</v>
      </c>
    </row>
    <row r="33" spans="1:7" ht="15.75" thickBot="1">
      <c r="A33" s="2"/>
      <c r="B33" s="21" t="s">
        <v>42</v>
      </c>
      <c r="C33" s="22"/>
      <c r="D33" s="20">
        <v>237</v>
      </c>
      <c r="E33" s="23">
        <v>30.5</v>
      </c>
      <c r="F33" s="18" t="s">
        <v>74</v>
      </c>
    </row>
    <row r="34" spans="1:7" ht="15.75" thickBot="1">
      <c r="B34" s="21" t="s">
        <v>43</v>
      </c>
      <c r="C34" s="21"/>
      <c r="D34" s="28">
        <v>223.25</v>
      </c>
      <c r="E34" s="23">
        <v>30.5</v>
      </c>
      <c r="F34" s="27" t="s">
        <v>75</v>
      </c>
    </row>
    <row r="35" spans="1:7" ht="15.75" thickBot="1">
      <c r="A35" s="2"/>
      <c r="B35" s="21"/>
      <c r="C35" s="22"/>
      <c r="D35" s="20"/>
      <c r="E35" s="23"/>
      <c r="F35" s="18"/>
      <c r="G35" s="25"/>
    </row>
    <row r="36" spans="1:7" ht="15.75" thickBot="1">
      <c r="A36" s="2"/>
      <c r="B36" s="21" t="s">
        <v>41</v>
      </c>
      <c r="C36" s="2"/>
      <c r="D36" s="20">
        <v>168</v>
      </c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SUM(D4:D37)-E38</f>
        <v>6108.2500000000009</v>
      </c>
      <c r="E38" s="26">
        <f>SUM(E4:E37)</f>
        <v>1002.5</v>
      </c>
      <c r="F38" s="19">
        <f>SUM(D38:E38)</f>
        <v>7110.7500000000009</v>
      </c>
    </row>
    <row r="39" spans="1:7" ht="15.75" thickBot="1">
      <c r="A39" s="2"/>
      <c r="B39" s="13" t="s">
        <v>7</v>
      </c>
      <c r="C39" s="2"/>
      <c r="D39" s="14">
        <f>D38*41.19</f>
        <v>251598.81750000003</v>
      </c>
      <c r="E39" s="15">
        <f>E38*43.69</f>
        <v>43799.224999999999</v>
      </c>
      <c r="F39" s="16">
        <f>D39+E39</f>
        <v>295398.04250000004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9</v>
      </c>
    </row>
    <row r="43" spans="1:7">
      <c r="A43" s="3" t="s">
        <v>10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Mai</vt:lpstr>
      <vt:lpstr>Mai!Zone_d_impression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2025-06-02T13:36:48Z</dcterms:modified>
</cp:coreProperties>
</file>