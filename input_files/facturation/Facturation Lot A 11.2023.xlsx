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eneve_GKR\01_Mgmt\Facility\05.Clients\Lot A\Facturation Mensuel\2023\11 Novembre\"/>
    </mc:Choice>
  </mc:AlternateContent>
  <xr:revisionPtr revIDLastSave="0" documentId="13_ncr:1_{9B1FCF2F-3059-4AE2-83B5-9DBBD3ED88EB}" xr6:coauthVersionLast="47" xr6:coauthVersionMax="47" xr10:uidLastSave="{00000000-0000-0000-0000-000000000000}"/>
  <bookViews>
    <workbookView xWindow="1470" yWindow="2310" windowWidth="19425" windowHeight="10425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D37" i="1" s="1"/>
  <c r="D32" i="1"/>
  <c r="D33" i="1"/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E36" i="1" l="1"/>
  <c r="E37" i="1" s="1"/>
  <c r="F37" i="1" l="1"/>
  <c r="F36" i="1" l="1"/>
</calcChain>
</file>

<file path=xl/sharedStrings.xml><?xml version="1.0" encoding="utf-8"?>
<sst xmlns="http://schemas.openxmlformats.org/spreadsheetml/2006/main" count="73" uniqueCount="70">
  <si>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</si>
  <si>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</si>
  <si>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</si>
  <si>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</si>
  <si>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</si>
  <si>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</si>
  <si>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</si>
  <si>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</si>
  <si>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</si>
  <si>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</si>
  <si>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</si>
  <si>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Rapport des heures Agents du Terminal novembre 2023</t>
  </si>
  <si>
    <t>Total 01.11.2023</t>
  </si>
  <si>
    <t>Total 02.11.2023</t>
  </si>
  <si>
    <t>Total 03.11.2023</t>
  </si>
  <si>
    <t>Total 04.11.2023</t>
  </si>
  <si>
    <t>Total 05.11.2023</t>
  </si>
  <si>
    <t>Total 06.11.2023</t>
  </si>
  <si>
    <t>Total 07.11.2023</t>
  </si>
  <si>
    <t>Total 08.11.2023</t>
  </si>
  <si>
    <t>Total 09.11.2023</t>
  </si>
  <si>
    <t>Total 10.11.2023</t>
  </si>
  <si>
    <t>Total 11.11.2023</t>
  </si>
  <si>
    <t>Total 12.11.2023</t>
  </si>
  <si>
    <t>Arc Gregory / Stéphane</t>
  </si>
  <si>
    <t>Arc Gregory / Stéphane + Formateur Xheneta</t>
  </si>
  <si>
    <t>Arc Gregory, Albina / Stéphane + Formateur Xheneta</t>
  </si>
  <si>
    <t>Arc Gregory, Jihan / Stéphane, Xheneta</t>
  </si>
  <si>
    <t>Arc Gregory, Ihsan / Stéphane, Naomé    Atc Juan, Leila</t>
  </si>
  <si>
    <t>Arc Gregory, Lauren / Stéphane              Atc Guillaume, Natacha</t>
  </si>
  <si>
    <t>Arc Albina, Jihan</t>
  </si>
  <si>
    <t>Arc Albina, Guillaume</t>
  </si>
  <si>
    <t>Arc Stéphae / Grégory, Isabelle                Atc Natacha, Ihsan</t>
  </si>
  <si>
    <t>Arc Stéphane / Grégory</t>
  </si>
  <si>
    <t>Arc Stéphane / Grégory, Natacha</t>
  </si>
  <si>
    <t>Arc Albina / Jihan</t>
  </si>
  <si>
    <t>Arc Albina / Elie</t>
  </si>
  <si>
    <t>Arc Grégory / Stéphane</t>
  </si>
  <si>
    <t>Arc Grégory / Juan</t>
  </si>
  <si>
    <t>Arc Ihsan / Jihan</t>
  </si>
  <si>
    <t>Arc Leila / Jihan</t>
  </si>
  <si>
    <t>Arc Guillaume / Grégory</t>
  </si>
  <si>
    <t>Arc Naomé / Albina + ATC Elie</t>
  </si>
  <si>
    <t>Arc Isabelle, Albina</t>
  </si>
  <si>
    <t>Arc Stéphane / Grégory                               + 2h ATC Guillaume, Lauren</t>
  </si>
  <si>
    <t>Arc Gregory, Stephane +                          Atc Guillaume, Lauren</t>
  </si>
  <si>
    <t>Total 18.11.2023</t>
  </si>
  <si>
    <t>Total 19.11.2023</t>
  </si>
  <si>
    <t>Total 20.11.2023</t>
  </si>
  <si>
    <t>Total 21.11.2023</t>
  </si>
  <si>
    <t>Total 22.11.2023</t>
  </si>
  <si>
    <t>Total 23.11.2023</t>
  </si>
  <si>
    <t>Total 24.11.2023</t>
  </si>
  <si>
    <t>Total 25.11.2023</t>
  </si>
  <si>
    <t>Total 26.11.2023</t>
  </si>
  <si>
    <t>Total 13.11.2023</t>
  </si>
  <si>
    <t>Total 14.11.2023</t>
  </si>
  <si>
    <t>Total 15.11.2023</t>
  </si>
  <si>
    <t>Total 16.11.2023</t>
  </si>
  <si>
    <t>Total 17.11.2023</t>
  </si>
  <si>
    <t>Arc Stéphane, Leila / Gregory, Elie            Atc Juan, Guillaume</t>
  </si>
  <si>
    <t>Arc Gregory, Stephane + Formateur Nat, Guillaume, Leila</t>
  </si>
  <si>
    <t>Total 27.11.2023</t>
  </si>
  <si>
    <t>Total 28.11.2023</t>
  </si>
  <si>
    <t>Arc Grégory, Stéphane + Formateur Nat, Guillaume, Isa, Elie, Naomé, Leila</t>
  </si>
  <si>
    <t>46 personnes en formations  sur 4 jours de 8h</t>
  </si>
  <si>
    <t>Total 29.11.2023</t>
  </si>
  <si>
    <t>Arc Naomé, Fiona/ Jihan + Formateurs Nat, Guillaume, Isabelle, Elie et Leila</t>
  </si>
  <si>
    <t>Total 30.11.2023</t>
  </si>
  <si>
    <t>Arc Gregory /Jihan + Formateur Leila, Xheneta et Isabelle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</si>
</sst>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166" fontId="10" fillId="0" borderId="0" xfId="0" applyNumberFormat="1" applyFont="1" applyBorder="1" applyAlignment="1">
      <alignment horizontal="righ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3"/>
  <sheetViews>
    <sheetView tabSelected="1" topLeftCell="A33" zoomScale="130" zoomScaleNormal="130" workbookViewId="0">
      <selection activeCell="D36" sqref="D36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31" t="s">
        <v>11</v>
      </c>
      <c r="B1" s="31"/>
      <c r="C1" s="31"/>
      <c r="D1" s="31"/>
      <c r="E1" s="31"/>
      <c r="F1" s="31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23.25" thickBot="1">
      <c r="A4" s="2"/>
      <c r="B4" s="21" t="s">
        <v>12</v>
      </c>
      <c r="C4" s="22"/>
      <c r="D4" s="23">
        <f>209.25-E4</f>
        <v>185.75</v>
      </c>
      <c r="E4" s="28">
        <v>23.5</v>
      </c>
      <c r="F4" s="18" t="s">
        <v>25</v>
      </c>
    </row>
    <row r="5" spans="1:6" ht="23.25" thickBot="1">
      <c r="A5" s="2"/>
      <c r="B5" s="21" t="s">
        <v>13</v>
      </c>
      <c r="C5" s="22"/>
      <c r="D5" s="23">
        <f>215.75-E5</f>
        <v>183.25</v>
      </c>
      <c r="E5" s="28">
        <v>32.5</v>
      </c>
      <c r="F5" s="18" t="s">
        <v>26</v>
      </c>
    </row>
    <row r="6" spans="1:6" ht="15.75" thickBot="1">
      <c r="A6" s="2"/>
      <c r="B6" s="21" t="s">
        <v>14</v>
      </c>
      <c r="C6" s="22"/>
      <c r="D6" s="23">
        <f>204.91-E6</f>
        <v>172.91</v>
      </c>
      <c r="E6" s="28">
        <v>32</v>
      </c>
      <c r="F6" s="18" t="s">
        <v>27</v>
      </c>
    </row>
    <row r="7" spans="1:6" ht="23.25" thickBot="1">
      <c r="A7" s="2"/>
      <c r="B7" s="21" t="s">
        <v>15</v>
      </c>
      <c r="C7" s="22"/>
      <c r="D7" s="23">
        <f>204.75-E7</f>
        <v>172.75</v>
      </c>
      <c r="E7" s="28">
        <v>32</v>
      </c>
      <c r="F7" s="18" t="s">
        <v>28</v>
      </c>
    </row>
    <row r="8" spans="1:6" ht="23.25" thickBot="1">
      <c r="A8" s="2"/>
      <c r="B8" s="21" t="s">
        <v>16</v>
      </c>
      <c r="C8" s="22"/>
      <c r="D8" s="23">
        <f>197-E8</f>
        <v>164.5</v>
      </c>
      <c r="E8" s="28">
        <v>32.5</v>
      </c>
      <c r="F8" s="18" t="s">
        <v>29</v>
      </c>
    </row>
    <row r="9" spans="1:6" ht="15.75" thickBot="1">
      <c r="A9" s="2"/>
      <c r="B9" s="21" t="s">
        <v>17</v>
      </c>
      <c r="C9" s="22"/>
      <c r="D9" s="23">
        <f>173.75-E9</f>
        <v>157.75</v>
      </c>
      <c r="E9" s="23">
        <v>16</v>
      </c>
      <c r="F9" s="18" t="s">
        <v>30</v>
      </c>
    </row>
    <row r="10" spans="1:6" ht="15.75" thickBot="1">
      <c r="A10" s="2"/>
      <c r="B10" s="21" t="s">
        <v>18</v>
      </c>
      <c r="C10" s="22"/>
      <c r="D10" s="23">
        <f>193.33-E10</f>
        <v>177.33</v>
      </c>
      <c r="E10" s="23">
        <v>16</v>
      </c>
      <c r="F10" s="18" t="s">
        <v>31</v>
      </c>
    </row>
    <row r="11" spans="1:6" ht="23.25" thickBot="1">
      <c r="A11" s="2"/>
      <c r="B11" s="21" t="s">
        <v>19</v>
      </c>
      <c r="C11" s="22"/>
      <c r="D11" s="23">
        <f>218.98-E11</f>
        <v>169.98</v>
      </c>
      <c r="E11" s="23">
        <v>49</v>
      </c>
      <c r="F11" s="18" t="s">
        <v>60</v>
      </c>
    </row>
    <row r="12" spans="1:6" ht="23.25" thickBot="1">
      <c r="A12" s="2"/>
      <c r="B12" s="21" t="s">
        <v>20</v>
      </c>
      <c r="C12" s="22"/>
      <c r="D12" s="23">
        <f>198.97-E12</f>
        <v>175.47</v>
      </c>
      <c r="E12" s="23">
        <v>23.5</v>
      </c>
      <c r="F12" s="18" t="s">
        <v>32</v>
      </c>
    </row>
    <row r="13" spans="1:6" ht="15.75" thickBot="1">
      <c r="A13" s="2"/>
      <c r="B13" s="21" t="s">
        <v>21</v>
      </c>
      <c r="C13" s="22"/>
      <c r="D13" s="23">
        <f>187.46-E13</f>
        <v>171.46</v>
      </c>
      <c r="E13" s="23">
        <v>16</v>
      </c>
      <c r="F13" s="18" t="s">
        <v>33</v>
      </c>
    </row>
    <row r="14" spans="1:6" ht="15.75" thickBot="1">
      <c r="A14" s="2"/>
      <c r="B14" s="21" t="s">
        <v>22</v>
      </c>
      <c r="C14" s="22"/>
      <c r="D14" s="23">
        <f>187.25-E14</f>
        <v>171.25</v>
      </c>
      <c r="E14" s="23">
        <v>16</v>
      </c>
      <c r="F14" s="18" t="s">
        <v>33</v>
      </c>
    </row>
    <row r="15" spans="1:6" ht="15.75" thickBot="1">
      <c r="A15" s="2"/>
      <c r="B15" s="21" t="s">
        <v>23</v>
      </c>
      <c r="C15" s="22"/>
      <c r="D15" s="23">
        <f>202.35-E15</f>
        <v>170.85</v>
      </c>
      <c r="E15" s="23">
        <v>31.5</v>
      </c>
      <c r="F15" s="18" t="s">
        <v>34</v>
      </c>
    </row>
    <row r="16" spans="1:6" ht="15.75" thickBot="1">
      <c r="A16" s="2"/>
      <c r="B16" s="21" t="s">
        <v>55</v>
      </c>
      <c r="C16" s="22"/>
      <c r="D16" s="23">
        <f>174.72-E16</f>
        <v>158.72</v>
      </c>
      <c r="E16" s="23">
        <v>16</v>
      </c>
      <c r="F16" s="18" t="s">
        <v>35</v>
      </c>
    </row>
    <row r="17" spans="1:6" ht="15.75" thickBot="1">
      <c r="A17" s="2"/>
      <c r="B17" s="26" t="s">
        <v>56</v>
      </c>
      <c r="C17" s="27"/>
      <c r="D17" s="28">
        <f>186.75-E17</f>
        <v>170.75</v>
      </c>
      <c r="E17" s="28">
        <v>16</v>
      </c>
      <c r="F17" s="29" t="s">
        <v>36</v>
      </c>
    </row>
    <row r="18" spans="1:6" ht="15.75" thickBot="1">
      <c r="A18" s="2"/>
      <c r="B18" s="26" t="s">
        <v>57</v>
      </c>
      <c r="C18" s="27"/>
      <c r="D18" s="23">
        <f>195.17-E18</f>
        <v>179.17</v>
      </c>
      <c r="E18" s="23">
        <v>16</v>
      </c>
      <c r="F18" s="29" t="s">
        <v>37</v>
      </c>
    </row>
    <row r="19" spans="1:6" ht="15.75" thickBot="1">
      <c r="A19" s="2"/>
      <c r="B19" s="26" t="s">
        <v>58</v>
      </c>
      <c r="C19" s="27"/>
      <c r="D19" s="28">
        <f>197-E19</f>
        <v>181</v>
      </c>
      <c r="E19" s="28">
        <v>16</v>
      </c>
      <c r="F19" s="29" t="s">
        <v>38</v>
      </c>
    </row>
    <row r="20" spans="1:6" ht="15.75" thickBot="1">
      <c r="A20" s="2"/>
      <c r="B20" s="26" t="s">
        <v>59</v>
      </c>
      <c r="C20" s="27"/>
      <c r="D20" s="23">
        <f>191.27-E20</f>
        <v>175.27</v>
      </c>
      <c r="E20" s="23">
        <v>16</v>
      </c>
      <c r="F20" s="29" t="s">
        <v>24</v>
      </c>
    </row>
    <row r="21" spans="1:6" ht="15.75" thickBot="1">
      <c r="A21" s="30"/>
      <c r="B21" s="26" t="s">
        <v>46</v>
      </c>
      <c r="C21" s="27"/>
      <c r="D21" s="28">
        <f>183.75-E21</f>
        <v>167.75</v>
      </c>
      <c r="E21" s="28">
        <v>16</v>
      </c>
      <c r="F21" s="29" t="s">
        <v>39</v>
      </c>
    </row>
    <row r="22" spans="1:6" ht="15.75" thickBot="1">
      <c r="A22" s="2"/>
      <c r="B22" s="26" t="s">
        <v>47</v>
      </c>
      <c r="C22" s="27"/>
      <c r="D22" s="23">
        <f>170.53-E22</f>
        <v>154.53</v>
      </c>
      <c r="E22" s="23">
        <v>16</v>
      </c>
      <c r="F22" s="29" t="s">
        <v>40</v>
      </c>
    </row>
    <row r="23" spans="1:6" ht="15.75" thickBot="1">
      <c r="A23" s="2"/>
      <c r="B23" s="26" t="s">
        <v>48</v>
      </c>
      <c r="C23" s="27"/>
      <c r="D23" s="28">
        <f>185.21-E23</f>
        <v>169.21</v>
      </c>
      <c r="E23" s="28">
        <v>16</v>
      </c>
      <c r="F23" s="29" t="s">
        <v>41</v>
      </c>
    </row>
    <row r="24" spans="1:6" ht="15.75" thickBot="1">
      <c r="A24" s="2"/>
      <c r="B24" s="21" t="s">
        <v>49</v>
      </c>
      <c r="C24" s="22"/>
      <c r="D24" s="23">
        <f>180.61-E24</f>
        <v>164.61</v>
      </c>
      <c r="E24" s="23">
        <v>16</v>
      </c>
      <c r="F24" s="18" t="s">
        <v>33</v>
      </c>
    </row>
    <row r="25" spans="1:6" ht="23.25" thickBot="1">
      <c r="A25" s="2"/>
      <c r="B25" s="21" t="s">
        <v>50</v>
      </c>
      <c r="C25" s="22"/>
      <c r="D25" s="23">
        <f>178.75-E25</f>
        <v>158.75</v>
      </c>
      <c r="E25" s="23">
        <v>20</v>
      </c>
      <c r="F25" s="18" t="s">
        <v>44</v>
      </c>
    </row>
    <row r="26" spans="1:6" ht="15.75" thickBot="1">
      <c r="A26" s="2"/>
      <c r="B26" s="21" t="s">
        <v>51</v>
      </c>
      <c r="C26" s="22"/>
      <c r="D26" s="23">
        <f>190.26-E26</f>
        <v>170.26</v>
      </c>
      <c r="E26" s="23">
        <v>20</v>
      </c>
      <c r="F26" s="18" t="s">
        <v>42</v>
      </c>
    </row>
    <row r="27" spans="1:6" ht="15.75" thickBot="1">
      <c r="A27" s="2"/>
      <c r="B27" s="21" t="s">
        <v>52</v>
      </c>
      <c r="C27" s="22"/>
      <c r="D27" s="23">
        <f>198.54-E27</f>
        <v>182.54</v>
      </c>
      <c r="E27" s="23">
        <v>16</v>
      </c>
      <c r="F27" s="18" t="s">
        <v>43</v>
      </c>
    </row>
    <row r="28" spans="1:6" ht="23.25" thickBot="1">
      <c r="A28" s="2"/>
      <c r="B28" s="21" t="s">
        <v>53</v>
      </c>
      <c r="C28" s="22"/>
      <c r="D28" s="23">
        <f>168.5-E28</f>
        <v>132.5</v>
      </c>
      <c r="E28" s="23">
        <v>36</v>
      </c>
      <c r="F28" s="18" t="s">
        <v>45</v>
      </c>
    </row>
    <row r="29" spans="1:6" ht="23.25" thickBot="1">
      <c r="A29" s="2"/>
      <c r="B29" s="21" t="s">
        <v>54</v>
      </c>
      <c r="C29" s="22"/>
      <c r="D29" s="23">
        <f>191.83-E29</f>
        <v>155.83000000000001</v>
      </c>
      <c r="E29" s="23">
        <v>36</v>
      </c>
      <c r="F29" s="18" t="s">
        <v>45</v>
      </c>
    </row>
    <row r="30" spans="1:6" ht="25.5" customHeight="1" thickBot="1">
      <c r="A30" s="2"/>
      <c r="B30" s="21" t="s">
        <v>62</v>
      </c>
      <c r="C30" s="22"/>
      <c r="D30" s="23">
        <f>207.25-E30</f>
        <v>168.75</v>
      </c>
      <c r="E30" s="23">
        <v>38.5</v>
      </c>
      <c r="F30" s="18" t="s">
        <v>61</v>
      </c>
    </row>
    <row r="31" spans="1:6" ht="23.25" thickBot="1">
      <c r="A31" s="2"/>
      <c r="B31" s="21" t="s">
        <v>63</v>
      </c>
      <c r="C31" s="22"/>
      <c r="D31" s="24">
        <f>223.25-E31</f>
        <v>162.25</v>
      </c>
      <c r="E31" s="23">
        <v>61</v>
      </c>
      <c r="F31" s="18" t="s">
        <v>64</v>
      </c>
    </row>
    <row r="32" spans="1:6" ht="23.25" thickBot="1">
      <c r="A32" s="2"/>
      <c r="B32" s="21" t="s">
        <v>66</v>
      </c>
      <c r="C32" s="22"/>
      <c r="D32" s="23">
        <f>207.82-E32</f>
        <v>145.82</v>
      </c>
      <c r="E32" s="23">
        <v>62</v>
      </c>
      <c r="F32" s="18" t="s">
        <v>67</v>
      </c>
    </row>
    <row r="33" spans="1:7" ht="23.25" thickBot="1">
      <c r="A33" s="2"/>
      <c r="B33" s="21" t="s">
        <v>68</v>
      </c>
      <c r="C33" s="22"/>
      <c r="D33" s="25">
        <f>177.7-E33</f>
        <v>144.69999999999999</v>
      </c>
      <c r="E33" s="23">
        <v>33</v>
      </c>
      <c r="F33" s="18" t="s">
        <v>69</v>
      </c>
    </row>
    <row r="34" spans="1:7" ht="15.75" thickBot="1">
      <c r="A34" s="2"/>
      <c r="B34" s="21"/>
      <c r="C34" s="2"/>
      <c r="D34" s="20"/>
      <c r="E34" s="23"/>
      <c r="F34" s="18"/>
    </row>
    <row r="35" spans="1:7" ht="23.25" thickBot="1">
      <c r="A35" s="2"/>
      <c r="B35" s="21"/>
      <c r="C35" s="2"/>
      <c r="D35" s="20">
        <v>368</v>
      </c>
      <c r="E35" s="23"/>
      <c r="F35" s="18" t="s">
        <v>65</v>
      </c>
    </row>
    <row r="36" spans="1:7" ht="45.75" thickBot="1">
      <c r="A36" s="10"/>
      <c r="B36" s="11" t="s">
        <v>8</v>
      </c>
      <c r="C36" s="12"/>
      <c r="D36" s="17">
        <f>SUM(D4:D35)</f>
        <v>5383.66</v>
      </c>
      <c r="E36" s="12">
        <f>SUM(E4:E35)</f>
        <v>787</v>
      </c>
      <c r="F36" s="19">
        <f>SUM(D36:E36)</f>
        <v>6170.66</v>
      </c>
    </row>
    <row r="37" spans="1:7" ht="15.75" thickBot="1">
      <c r="A37" s="2"/>
      <c r="B37" s="13" t="s">
        <v>7</v>
      </c>
      <c r="C37" s="2"/>
      <c r="D37" s="14">
        <f>D36*40.38</f>
        <v>217392.19080000001</v>
      </c>
      <c r="E37" s="15">
        <f>E36*42.84</f>
        <v>33715.08</v>
      </c>
      <c r="F37" s="16">
        <f>D37+E37</f>
        <v>251107.2708</v>
      </c>
      <c r="G37" s="5"/>
    </row>
    <row r="38" spans="1:7">
      <c r="A38" s="5"/>
      <c r="B38" s="6"/>
      <c r="C38" s="7"/>
      <c r="D38" s="8"/>
      <c r="E38" s="8"/>
      <c r="F38" s="9"/>
      <c r="G38" s="5"/>
    </row>
    <row r="39" spans="1:7">
      <c r="A39" s="4" t="s">
        <v>10</v>
      </c>
    </row>
    <row r="41" spans="1:7">
      <c r="A41" s="3" t="s">
        <v>9</v>
      </c>
    </row>
    <row r="43" spans="1:7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2023-12-01T09:28:27Z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1016896339</vt:i4>
  </property>
  <property fmtid="{D5CDD505-2E9C-101B-9397-08002B2CF9AE}" pid="3" name="_NewReviewCycle">
    <vt:lpwstr/>
  </property>
  <property fmtid="{D5CDD505-2E9C-101B-9397-08002B2CF9AE}" pid="4" name="_EmailSubject">
    <vt:lpwstr>Facture n°2284912</vt:lpwstr>
  </property>
  <property fmtid="{D5CDD505-2E9C-101B-9397-08002B2CF9AE}" pid="5" name="_AuthorEmail">
    <vt:lpwstr>debiteurs-ouest@ch.issworld.com</vt:lpwstr>
  </property>
  <property fmtid="{D5CDD505-2E9C-101B-9397-08002B2CF9AE}" pid="6" name="_AuthorEmailDisplayName">
    <vt:lpwstr>Debiteurs-ouest CH</vt:lpwstr>
  </property>
  <property fmtid="{D5CDD505-2E9C-101B-9397-08002B2CF9AE}" pid="7" name="_PreviousAdHocReviewCycleID">
    <vt:i4>-736564800</vt:i4>
  </property>
</Properties>
</file>