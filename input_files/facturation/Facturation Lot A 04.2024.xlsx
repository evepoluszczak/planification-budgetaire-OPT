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04 Avril\"/>
    </mc:Choice>
  </mc:AlternateContent>
  <xr:revisionPtr revIDLastSave="0" documentId="13_ncr:1_{2A036A1B-E592-4FE0-A09E-FE2C44638E50}" xr6:coauthVersionLast="47" xr6:coauthVersionMax="47" xr10:uidLastSave="{00000000-0000-0000-0000-000000000000}"/>
  <bookViews>
    <workbookView xWindow="-1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5" i="1" l="1"/>
  <c r="E35" i="1" l="1"/>
  <c r="E36" i="1" s="1"/>
  <c r="D36" i="1" l="1"/>
  <c r="F35" i="1" l="1"/>
  <c r="F36" i="1"/>
</calcChain>
</file>

<file path=xl/sharedStrings.xml><?xml version="1.0" encoding="utf-8"?>
<sst xmlns="http://schemas.openxmlformats.org/spreadsheetml/2006/main" count="72" uniqueCount="67">
  <si>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</si>
  <si>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</si>
  <si>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</si>
  <si>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</si>
  <si>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</si>
  <si>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</si>
  <si>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</si>
  <si>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</si>
  <si>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</si>
  <si>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</si>
  <si>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</si>
  <si>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Arc Ihsan/Albina</t>
  </si>
  <si>
    <t>Arc Guillaume L./Ihsan</t>
  </si>
  <si>
    <t>Rapport des heures Agents du Terminal avril 2024</t>
  </si>
  <si>
    <t>Arc Guillaume L./Elie</t>
  </si>
  <si>
    <t>Arc Ihsan/Lauren</t>
  </si>
  <si>
    <t>Arc Elie/Jihan + Coordi Lauren/Guillaume B.</t>
  </si>
  <si>
    <t>Arc Guillaume B./Gregory</t>
  </si>
  <si>
    <t>Arc Guillaume L./Gregory</t>
  </si>
  <si>
    <t>Arc Gregory/Aya</t>
  </si>
  <si>
    <t>Arc Fiona/Guillaume L.</t>
  </si>
  <si>
    <t>Arc Gregory/Xheneta + Coordi Elie/Guillaume B.</t>
  </si>
  <si>
    <t>Arc Elie/Xheneta</t>
  </si>
  <si>
    <t>Arc Guillaume L./Xheneta</t>
  </si>
  <si>
    <t>Arc Fiona/Xheneta</t>
  </si>
  <si>
    <t>Arc Albina/Ihsan</t>
  </si>
  <si>
    <t>Arc Fiona/Albina</t>
  </si>
  <si>
    <t>Arc Xheneta/Elie + Coordi Guillaume B./Aya</t>
  </si>
  <si>
    <t>Arc Natacha/Albina</t>
  </si>
  <si>
    <t>Arc Guillaume L./Natacha</t>
  </si>
  <si>
    <t>Arc Gregory/Guillaume L.</t>
  </si>
  <si>
    <t>Arc Stéphane/Albina</t>
  </si>
  <si>
    <t>Total 01.04.2024</t>
  </si>
  <si>
    <t>Total 02.04.2024</t>
  </si>
  <si>
    <t>Total 03.04.2024</t>
  </si>
  <si>
    <t>Total 04.04.2024</t>
  </si>
  <si>
    <t>Total 05.04.2024</t>
  </si>
  <si>
    <t>Total 06.04.2024</t>
  </si>
  <si>
    <t>Total 07.04.2024</t>
  </si>
  <si>
    <t>Total 08.04.2024</t>
  </si>
  <si>
    <t>Total 09.04.2024</t>
  </si>
  <si>
    <t>Total 10.04.2024</t>
  </si>
  <si>
    <t>Total 11.04.2024</t>
  </si>
  <si>
    <t>Total 12.04.2024</t>
  </si>
  <si>
    <t>Total 13.04.2024</t>
  </si>
  <si>
    <t>Total 14.04.2024</t>
  </si>
  <si>
    <t>Arc Guillaume B./Aya + Coordi Xheneta/Elie</t>
  </si>
  <si>
    <t>Total 15.04.2024</t>
  </si>
  <si>
    <t>Total 16.04.2024</t>
  </si>
  <si>
    <t>Total 17.04.2024</t>
  </si>
  <si>
    <t>Total 18.04.2024</t>
  </si>
  <si>
    <t>Total 19.04.2024</t>
  </si>
  <si>
    <t>Total 20.04.2024</t>
  </si>
  <si>
    <t>Total 21.04.2024</t>
  </si>
  <si>
    <t>Total 22.04.2024</t>
  </si>
  <si>
    <t>Total 23.04.2024</t>
  </si>
  <si>
    <t>Total 24.04.2024</t>
  </si>
  <si>
    <t>Total 25.04.2024</t>
  </si>
  <si>
    <t>Total 26.04.2024</t>
  </si>
  <si>
    <t>Total 27.04.2024</t>
  </si>
  <si>
    <t>Total 28.04.2024</t>
  </si>
  <si>
    <t>Arc Guillaume B./Elie</t>
  </si>
  <si>
    <t>Arc Guillaume L./Albina</t>
  </si>
  <si>
    <t>Arc Ihsan/Xheneta</t>
  </si>
  <si>
    <t>Total 29.04.2024</t>
  </si>
  <si>
    <t>Total 30.04.2024</t>
  </si>
  <si>
    <t>Arc Guillaume L/Xheneta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</si>
</sst>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top"/>
    </xf>
    <xf numFmtId="166" fontId="10" fillId="0" borderId="3" xfId="0" applyNumberFormat="1" applyFont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left" vertical="top"/>
    </xf>
    <xf numFmtId="166" fontId="10" fillId="0" borderId="0" xfId="0" applyNumberFormat="1" applyFont="1" applyBorder="1" applyAlignment="1">
      <alignment horizontal="left" vertical="top"/>
    </xf>
    <xf numFmtId="166" fontId="10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2"/>
  <sheetViews>
    <sheetView tabSelected="1" topLeftCell="A2" zoomScale="130" zoomScaleNormal="130" workbookViewId="0">
      <selection activeCell="F42" sqref="F42"/>
    </sheetView>
  </sheetViews>
  <sheetFormatPr baseColWidth="10" defaultRowHeight="15"/>
  <cols>
    <col min="1" max="1" width="12.42578125" customWidth="1"/>
    <col min="2" max="2" width="15.28515625" customWidth="1"/>
    <col min="3" max="3" width="12.28515625" customWidth="1"/>
    <col min="4" max="4" width="13.42578125" customWidth="1"/>
    <col min="5" max="5" width="11.7109375" customWidth="1"/>
    <col min="6" max="6" width="36.7109375" customWidth="1"/>
  </cols>
  <sheetData>
    <row r="1" spans="1:6">
      <c r="A1" s="34" t="s">
        <v>13</v>
      </c>
      <c r="B1" s="34"/>
      <c r="C1" s="34"/>
      <c r="D1" s="34"/>
      <c r="E1" s="34"/>
      <c r="F1" s="34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9" t="s">
        <v>32</v>
      </c>
      <c r="C4" s="19"/>
      <c r="D4" s="20">
        <v>209.50000000000003</v>
      </c>
      <c r="E4" s="23">
        <v>16</v>
      </c>
      <c r="F4" s="17" t="s">
        <v>11</v>
      </c>
    </row>
    <row r="5" spans="1:6" ht="15.75" thickBot="1">
      <c r="A5" s="2"/>
      <c r="B5" s="29" t="s">
        <v>33</v>
      </c>
      <c r="C5" s="19"/>
      <c r="D5" s="20">
        <v>192.24999999999997</v>
      </c>
      <c r="E5" s="23">
        <v>16</v>
      </c>
      <c r="F5" s="17" t="s">
        <v>15</v>
      </c>
    </row>
    <row r="6" spans="1:6" ht="15.75" thickBot="1">
      <c r="A6" s="2"/>
      <c r="B6" s="29" t="s">
        <v>34</v>
      </c>
      <c r="C6" s="19"/>
      <c r="D6" s="20">
        <v>196.25</v>
      </c>
      <c r="E6" s="23">
        <v>16</v>
      </c>
      <c r="F6" s="17" t="s">
        <v>25</v>
      </c>
    </row>
    <row r="7" spans="1:6" ht="15.75" thickBot="1">
      <c r="A7" s="2"/>
      <c r="B7" s="29" t="s">
        <v>35</v>
      </c>
      <c r="C7" s="19"/>
      <c r="D7" s="20">
        <v>212</v>
      </c>
      <c r="E7" s="23">
        <v>16</v>
      </c>
      <c r="F7" s="17" t="s">
        <v>17</v>
      </c>
    </row>
    <row r="8" spans="1:6" ht="15.75" thickBot="1">
      <c r="A8" s="2"/>
      <c r="B8" s="29" t="s">
        <v>36</v>
      </c>
      <c r="C8" s="19"/>
      <c r="D8" s="20">
        <v>249.24999999999997</v>
      </c>
      <c r="E8" s="23">
        <v>16</v>
      </c>
      <c r="F8" s="17" t="s">
        <v>17</v>
      </c>
    </row>
    <row r="9" spans="1:6" ht="15.75" thickBot="1">
      <c r="A9" s="2"/>
      <c r="B9" s="29" t="s">
        <v>37</v>
      </c>
      <c r="C9" s="19"/>
      <c r="D9" s="20">
        <v>355.00000000000006</v>
      </c>
      <c r="E9" s="23">
        <v>32.5</v>
      </c>
      <c r="F9" s="17" t="s">
        <v>16</v>
      </c>
    </row>
    <row r="10" spans="1:6" ht="15.75" thickBot="1">
      <c r="A10" s="2"/>
      <c r="B10" s="29" t="s">
        <v>38</v>
      </c>
      <c r="C10" s="19"/>
      <c r="D10" s="20">
        <v>312.49999999999994</v>
      </c>
      <c r="E10" s="23">
        <v>32.5</v>
      </c>
      <c r="F10" s="17" t="s">
        <v>21</v>
      </c>
    </row>
    <row r="11" spans="1:6" ht="15.75" thickBot="1">
      <c r="A11" s="2"/>
      <c r="B11" s="29" t="s">
        <v>39</v>
      </c>
      <c r="C11" s="19"/>
      <c r="D11" s="20">
        <v>220.49999999999997</v>
      </c>
      <c r="E11" s="23">
        <v>16</v>
      </c>
      <c r="F11" s="17" t="s">
        <v>22</v>
      </c>
    </row>
    <row r="12" spans="1:6" ht="15.75" thickBot="1">
      <c r="A12" s="2"/>
      <c r="B12" s="29" t="s">
        <v>40</v>
      </c>
      <c r="C12" s="19"/>
      <c r="D12" s="20">
        <v>182.89999999999998</v>
      </c>
      <c r="E12" s="23">
        <v>16</v>
      </c>
      <c r="F12" s="17" t="s">
        <v>12</v>
      </c>
    </row>
    <row r="13" spans="1:6" ht="15.75" thickBot="1">
      <c r="A13" s="2"/>
      <c r="B13" s="29" t="s">
        <v>41</v>
      </c>
      <c r="C13" s="19"/>
      <c r="D13" s="20">
        <v>206.24999999999997</v>
      </c>
      <c r="E13" s="23">
        <v>16</v>
      </c>
      <c r="F13" s="17" t="s">
        <v>14</v>
      </c>
    </row>
    <row r="14" spans="1:6" ht="15.75" thickBot="1">
      <c r="A14" s="2"/>
      <c r="B14" s="29" t="s">
        <v>42</v>
      </c>
      <c r="C14" s="19"/>
      <c r="D14" s="20">
        <v>219.99999999999994</v>
      </c>
      <c r="E14" s="23">
        <v>16</v>
      </c>
      <c r="F14" s="17" t="s">
        <v>18</v>
      </c>
    </row>
    <row r="15" spans="1:6" ht="15.75" thickBot="1">
      <c r="A15" s="2"/>
      <c r="B15" s="29" t="s">
        <v>43</v>
      </c>
      <c r="C15" s="19"/>
      <c r="D15" s="20">
        <v>249.75</v>
      </c>
      <c r="E15" s="23">
        <v>16</v>
      </c>
      <c r="F15" s="17" t="s">
        <v>19</v>
      </c>
    </row>
    <row r="16" spans="1:6" ht="15.75" thickBot="1">
      <c r="A16" s="2"/>
      <c r="B16" s="29" t="s">
        <v>44</v>
      </c>
      <c r="C16" s="19"/>
      <c r="D16" s="20">
        <v>330.00000000000006</v>
      </c>
      <c r="E16" s="23">
        <v>32.5</v>
      </c>
      <c r="F16" s="17" t="s">
        <v>27</v>
      </c>
    </row>
    <row r="17" spans="1:7" ht="15.75" thickBot="1">
      <c r="A17" s="2"/>
      <c r="B17" s="29" t="s">
        <v>45</v>
      </c>
      <c r="C17" s="21"/>
      <c r="D17" s="22">
        <v>300.39999999999986</v>
      </c>
      <c r="E17" s="23">
        <v>32.5</v>
      </c>
      <c r="F17" s="17" t="s">
        <v>46</v>
      </c>
    </row>
    <row r="18" spans="1:7" ht="15.75" thickBot="1">
      <c r="A18" s="2"/>
      <c r="B18" s="21" t="s">
        <v>47</v>
      </c>
      <c r="C18" s="22"/>
      <c r="D18" s="30">
        <v>204.49999999999997</v>
      </c>
      <c r="E18" s="23">
        <v>16</v>
      </c>
      <c r="F18" s="17" t="s">
        <v>23</v>
      </c>
    </row>
    <row r="19" spans="1:7" ht="15.75" thickBot="1">
      <c r="A19" s="2"/>
      <c r="B19" s="21" t="s">
        <v>48</v>
      </c>
      <c r="C19" s="22"/>
      <c r="D19" s="31">
        <v>193.67999999999998</v>
      </c>
      <c r="E19" s="23">
        <v>16</v>
      </c>
      <c r="F19" s="17" t="s">
        <v>26</v>
      </c>
    </row>
    <row r="20" spans="1:7" ht="15.75" thickBot="1">
      <c r="A20" s="2"/>
      <c r="B20" s="21" t="s">
        <v>49</v>
      </c>
      <c r="C20" s="22"/>
      <c r="D20" s="31">
        <v>204.74999999999997</v>
      </c>
      <c r="E20" s="23">
        <v>16</v>
      </c>
      <c r="F20" s="24" t="s">
        <v>24</v>
      </c>
    </row>
    <row r="21" spans="1:7" ht="15.75" thickBot="1">
      <c r="A21" s="25"/>
      <c r="B21" s="21" t="s">
        <v>50</v>
      </c>
      <c r="C21" s="22"/>
      <c r="D21" s="31">
        <v>232.75</v>
      </c>
      <c r="E21" s="23">
        <v>16</v>
      </c>
      <c r="F21" s="17" t="s">
        <v>20</v>
      </c>
    </row>
    <row r="22" spans="1:7" ht="15.75" thickBot="1">
      <c r="A22" s="2"/>
      <c r="B22" s="21" t="s">
        <v>51</v>
      </c>
      <c r="C22" s="22"/>
      <c r="D22" s="30">
        <v>221.5</v>
      </c>
      <c r="E22" s="23">
        <v>16</v>
      </c>
      <c r="F22" s="17" t="s">
        <v>30</v>
      </c>
    </row>
    <row r="23" spans="1:7" ht="15.75" thickBot="1">
      <c r="A23" s="2"/>
      <c r="B23" s="21" t="s">
        <v>52</v>
      </c>
      <c r="C23" s="22"/>
      <c r="D23" s="31">
        <v>212.25000000000003</v>
      </c>
      <c r="E23" s="23">
        <v>16</v>
      </c>
      <c r="F23" s="17" t="s">
        <v>29</v>
      </c>
    </row>
    <row r="24" spans="1:7" ht="15.75" thickBot="1">
      <c r="A24" s="2"/>
      <c r="B24" s="19" t="s">
        <v>53</v>
      </c>
      <c r="C24" s="20"/>
      <c r="D24" s="30">
        <v>215.50000000000006</v>
      </c>
      <c r="E24" s="23">
        <v>16</v>
      </c>
      <c r="F24" s="17" t="s">
        <v>28</v>
      </c>
    </row>
    <row r="25" spans="1:7" ht="15.75" thickBot="1">
      <c r="A25" s="2"/>
      <c r="B25" s="19" t="s">
        <v>54</v>
      </c>
      <c r="C25" s="20"/>
      <c r="D25" s="30">
        <v>211.49999999999997</v>
      </c>
      <c r="E25" s="23">
        <v>16</v>
      </c>
      <c r="F25" s="17" t="s">
        <v>31</v>
      </c>
    </row>
    <row r="26" spans="1:7" ht="15" customHeight="1" thickBot="1">
      <c r="A26" s="2"/>
      <c r="B26" s="19" t="s">
        <v>55</v>
      </c>
      <c r="C26" s="20"/>
      <c r="D26" s="30">
        <v>225</v>
      </c>
      <c r="E26" s="23">
        <v>16</v>
      </c>
      <c r="F26" s="17" t="s">
        <v>62</v>
      </c>
    </row>
    <row r="27" spans="1:7" ht="15" customHeight="1" thickBot="1">
      <c r="A27" s="2"/>
      <c r="B27" s="19" t="s">
        <v>56</v>
      </c>
      <c r="C27" s="20"/>
      <c r="D27" s="30">
        <v>237.99999999999994</v>
      </c>
      <c r="E27" s="23">
        <v>16</v>
      </c>
      <c r="F27" s="17" t="s">
        <v>12</v>
      </c>
    </row>
    <row r="28" spans="1:7" ht="15" customHeight="1" thickBot="1">
      <c r="A28" s="2"/>
      <c r="B28" s="19" t="s">
        <v>57</v>
      </c>
      <c r="C28" s="20"/>
      <c r="D28" s="30">
        <v>242.75</v>
      </c>
      <c r="E28" s="23">
        <v>16</v>
      </c>
      <c r="F28" s="17" t="s">
        <v>61</v>
      </c>
    </row>
    <row r="29" spans="1:7" ht="15" customHeight="1" thickBot="1">
      <c r="A29" s="2"/>
      <c r="B29" s="19" t="s">
        <v>58</v>
      </c>
      <c r="C29" s="20"/>
      <c r="D29" s="30">
        <v>214.75000000000003</v>
      </c>
      <c r="E29" s="23">
        <v>16</v>
      </c>
      <c r="F29" s="17" t="s">
        <v>17</v>
      </c>
    </row>
    <row r="30" spans="1:7" ht="15" customHeight="1" thickBot="1">
      <c r="A30" s="2"/>
      <c r="B30" s="19" t="s">
        <v>59</v>
      </c>
      <c r="C30" s="20"/>
      <c r="D30" s="30">
        <v>197.99999999999997</v>
      </c>
      <c r="E30" s="23">
        <v>16</v>
      </c>
      <c r="F30" s="24" t="s">
        <v>63</v>
      </c>
    </row>
    <row r="31" spans="1:7" ht="15" customHeight="1" thickBot="1">
      <c r="A31" s="2"/>
      <c r="B31" s="19" t="s">
        <v>60</v>
      </c>
      <c r="C31" s="20"/>
      <c r="D31" s="32">
        <v>200.24999999999997</v>
      </c>
      <c r="E31" s="23">
        <v>16</v>
      </c>
      <c r="F31" s="24" t="s">
        <v>63</v>
      </c>
    </row>
    <row r="32" spans="1:7" ht="15" customHeight="1" thickBot="1">
      <c r="A32" s="2"/>
      <c r="B32" s="19" t="s">
        <v>64</v>
      </c>
      <c r="C32" s="20"/>
      <c r="D32" s="32">
        <v>205.99999999999997</v>
      </c>
      <c r="E32" s="23">
        <v>16</v>
      </c>
      <c r="F32" s="24" t="s">
        <v>66</v>
      </c>
      <c r="G32" s="26"/>
    </row>
    <row r="33" spans="1:7" ht="15.75" thickBot="1">
      <c r="A33" s="2"/>
      <c r="B33" s="19" t="s">
        <v>65</v>
      </c>
      <c r="C33" s="2"/>
      <c r="D33" s="33">
        <v>201</v>
      </c>
      <c r="E33" s="23">
        <v>16</v>
      </c>
      <c r="F33" s="17" t="s">
        <v>12</v>
      </c>
      <c r="G33" s="17"/>
    </row>
    <row r="34" spans="1:7" ht="15.75" thickBot="1">
      <c r="A34" s="2"/>
      <c r="B34" s="19"/>
      <c r="C34" s="2"/>
      <c r="D34" s="33"/>
      <c r="E34" s="23">
        <v>16</v>
      </c>
      <c r="F34" s="17"/>
    </row>
    <row r="35" spans="1:7" ht="45.75" thickBot="1">
      <c r="A35" s="10"/>
      <c r="B35" s="11" t="s">
        <v>8</v>
      </c>
      <c r="C35" s="12"/>
      <c r="D35" s="28">
        <f>SUM(D4:D34)-SUM(E4:E34)</f>
        <v>6296.73</v>
      </c>
      <c r="E35" s="27">
        <f>SUM(E4:E34)</f>
        <v>562</v>
      </c>
      <c r="F35" s="18">
        <f>SUM(D35:E35)</f>
        <v>6858.73</v>
      </c>
    </row>
    <row r="36" spans="1:7" ht="15.75" thickBot="1">
      <c r="A36" s="2"/>
      <c r="B36" s="13" t="s">
        <v>7</v>
      </c>
      <c r="C36" s="2"/>
      <c r="D36" s="14">
        <f>D35*40.92</f>
        <v>257662.19159999999</v>
      </c>
      <c r="E36" s="15">
        <f>E35*43.41</f>
        <v>24396.42</v>
      </c>
      <c r="F36" s="16">
        <f>D36+E36</f>
        <v>282058.6116</v>
      </c>
      <c r="G36" s="5"/>
    </row>
    <row r="37" spans="1:7">
      <c r="A37" s="5"/>
      <c r="B37" s="6"/>
      <c r="C37" s="7"/>
      <c r="D37" s="8"/>
      <c r="E37" s="8"/>
      <c r="F37" s="9"/>
      <c r="G37" s="5"/>
    </row>
    <row r="38" spans="1:7">
      <c r="A38" s="4" t="s">
        <v>9</v>
      </c>
    </row>
    <row r="40" spans="1:7">
      <c r="A40" s="3" t="s">
        <v>10</v>
      </c>
    </row>
    <row r="42" spans="1:7">
      <c r="A42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Jérémie Zumwald</cp:lastModifiedBy>
  <cp:lastPrinted>2022-11-01T11:00:33Z</cp:lastPrinted>
  <dcterms:created xsi:type="dcterms:W3CDTF">2021-01-02T10:15:23Z</dcterms:created>
  <dcterms:modified xsi:type="dcterms:W3CDTF">2024-05-01T08:25:17Z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