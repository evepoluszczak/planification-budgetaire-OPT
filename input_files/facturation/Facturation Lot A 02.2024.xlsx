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01_Mgmt\AOS_à trier\Facility\05.Clients\Lot A\Facturation\2024\02 Février\"/>
    </mc:Choice>
  </mc:AlternateContent>
  <xr:revisionPtr revIDLastSave="0" documentId="13_ncr:1_{4CC1FC26-647A-4970-AB25-D769D6F129C2}" xr6:coauthVersionLast="47" xr6:coauthVersionMax="47" xr10:uidLastSave="{00000000-0000-0000-0000-000000000000}"/>
  <bookViews>
    <workbookView xWindow="-5772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1" i="1" l="1"/>
  <c r="D32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E35" i="1"/>
  <c r="E36" i="1" l="1"/>
  <c r="D35" i="1" l="1"/>
  <c r="F35" i="1" l="1"/>
  <c r="D36" i="1"/>
  <c r="F36" i="1" s="1"/>
</calcChain>
</file>

<file path=xl/sharedStrings.xml><?xml version="1.0" encoding="utf-8"?>
<sst xmlns="http://schemas.openxmlformats.org/spreadsheetml/2006/main" count="70" uniqueCount="63">
  <si>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</si>
  <si>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</si>
  <si>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</si>
  <si>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</si>
  <si>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</si>
  <si>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</si>
  <si>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</si>
  <si>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</si>
  <si>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</si>
  <si>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</si>
  <si>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</si>
  <si>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Total 01.02.2024</t>
  </si>
  <si>
    <t>Total 02.02.2024</t>
  </si>
  <si>
    <t>Total 03.02.2024</t>
  </si>
  <si>
    <t>Total 05.02.2024</t>
  </si>
  <si>
    <t>Total 06.02.2024</t>
  </si>
  <si>
    <t>Total 07.02.2024</t>
  </si>
  <si>
    <t>Total 08.02.2024</t>
  </si>
  <si>
    <t>Total 09.02.2024</t>
  </si>
  <si>
    <t>Total 10.02.2024</t>
  </si>
  <si>
    <t>Total 11.02.2024</t>
  </si>
  <si>
    <t>Total 12.02.2024</t>
  </si>
  <si>
    <t>Total 13.02.2024</t>
  </si>
  <si>
    <t>Total 14.02.2024</t>
  </si>
  <si>
    <t>Total 15.02.2024</t>
  </si>
  <si>
    <t>Total 16.02.2024</t>
  </si>
  <si>
    <t>Total 17.02.2024</t>
  </si>
  <si>
    <t>Total 18.02.2024</t>
  </si>
  <si>
    <t>Total 19.02.2024</t>
  </si>
  <si>
    <t>Total 20.02.2024</t>
  </si>
  <si>
    <t>Total 21.02.2024</t>
  </si>
  <si>
    <t>Total 22.02.2024</t>
  </si>
  <si>
    <t>Total 23.02.2024</t>
  </si>
  <si>
    <t>Total 24.02.2024</t>
  </si>
  <si>
    <t>Total 25.02.2024</t>
  </si>
  <si>
    <t>Total 26.02.2024</t>
  </si>
  <si>
    <t>Total 27.02.2024</t>
  </si>
  <si>
    <t>Total 28.02.2024</t>
  </si>
  <si>
    <t>Rapport des heures Agents du Terminal février 2024</t>
  </si>
  <si>
    <t>Total 04.02.2024</t>
  </si>
  <si>
    <t>Arc PIFRE/VAILLANT</t>
  </si>
  <si>
    <t>Arc PIFRE/VAILLANT 
+ Coordi BABAKARKHEL/BEAU</t>
  </si>
  <si>
    <t>Arc PIFRE/VAILLANT 
+ Coordi BABAKARKHEL/LUFTJA</t>
  </si>
  <si>
    <t>Arc LUFTJA/ HAMMAD</t>
  </si>
  <si>
    <t>Arc LUFTJA/PIFRE</t>
  </si>
  <si>
    <t>Arc BEN ALI/LUFTJA</t>
  </si>
  <si>
    <t>Arc BABAKARKHEL/LEFEBVRE</t>
  </si>
  <si>
    <t>Arc PIFRE/VAILLANT + Coordi BETTONI/BOIMOND</t>
  </si>
  <si>
    <t>Arc PIFRE/VAILLANT + Coordi BABAKARKHEL/MENASSA</t>
  </si>
  <si>
    <t xml:space="preserve">Arc LEFEBVRE/LUFTJA </t>
  </si>
  <si>
    <t>Arc BABAKARKHEL/BOIMOND</t>
  </si>
  <si>
    <t>Arc BABAKARKHEL/SINANI</t>
  </si>
  <si>
    <t>Arc LEFEBVRE/SALGUEIRO</t>
  </si>
  <si>
    <t>Arc BETTONI/VAILLANT</t>
  </si>
  <si>
    <t>Arc BETTONI/BOIMOND+ Cordi  MENASSA/SINANI</t>
  </si>
  <si>
    <t>Arc LUFTJA/MENASSA</t>
  </si>
  <si>
    <t>Arc LUFTJA/SALGUEIRO</t>
  </si>
  <si>
    <t>Arc BABAKARKHEL/LUFTJA</t>
  </si>
  <si>
    <t>Arc BETTONI/LUFTJA</t>
  </si>
  <si>
    <t>Arc PIFRE/VAILLANT + Cordi HAMMAD/SALGUEIRO</t>
  </si>
  <si>
    <t>Arc PIFRE/VAILLANT + Cordi BEAU/HAMMAD</t>
  </si>
  <si>
    <t>Total 29.02.2024</t>
  </si>
  <si>
    <t>Arc HALOTI/LEFEBVRE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</si>
</sst>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0" borderId="0" xfId="0" applyNumberFormat="1" applyFont="1" applyBorder="1" applyAlignment="1">
      <alignment horizontal="righ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2"/>
  <sheetViews>
    <sheetView tabSelected="1" topLeftCell="A14" zoomScale="130" zoomScaleNormal="130" workbookViewId="0">
      <selection activeCell="E35" sqref="E35"/>
    </sheetView>
  </sheetViews>
  <sheetFormatPr baseColWidth="10" defaultRowHeight="14.5"/>
  <cols>
    <col min="1" max="1" width="12.453125" customWidth="1"/>
    <col min="2" max="2" width="15.26953125" customWidth="1"/>
    <col min="3" max="3" width="12.26953125" customWidth="1"/>
    <col min="4" max="4" width="13.453125" customWidth="1"/>
    <col min="5" max="5" width="11.7265625" customWidth="1"/>
    <col min="6" max="6" width="36.7265625" customWidth="1"/>
  </cols>
  <sheetData>
    <row r="1" spans="1:6">
      <c r="A1" s="32" t="s">
        <v>38</v>
      </c>
      <c r="B1" s="32"/>
      <c r="C1" s="32"/>
      <c r="D1" s="32"/>
      <c r="E1" s="32"/>
      <c r="F1" s="32"/>
    </row>
    <row r="2" spans="1:6" ht="1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" thickBot="1">
      <c r="A4" s="2"/>
      <c r="B4" s="21" t="s">
        <v>11</v>
      </c>
      <c r="C4" s="22"/>
      <c r="D4" s="23">
        <f>203-E4</f>
        <v>187</v>
      </c>
      <c r="E4" s="27">
        <v>16</v>
      </c>
      <c r="F4" s="18" t="s">
        <v>43</v>
      </c>
    </row>
    <row r="5" spans="1:6" ht="15" thickBot="1">
      <c r="A5" s="2"/>
      <c r="B5" s="21" t="s">
        <v>12</v>
      </c>
      <c r="C5" s="22"/>
      <c r="D5" s="23">
        <f>203.75-E5</f>
        <v>187.75</v>
      </c>
      <c r="E5" s="27">
        <v>16</v>
      </c>
      <c r="F5" s="18" t="s">
        <v>40</v>
      </c>
    </row>
    <row r="6" spans="1:6" ht="20.5" thickBot="1">
      <c r="A6" s="2"/>
      <c r="B6" s="21" t="s">
        <v>13</v>
      </c>
      <c r="C6" s="22"/>
      <c r="D6" s="23">
        <f>303.84-E6</f>
        <v>271.41999999999996</v>
      </c>
      <c r="E6" s="27">
        <v>32.42</v>
      </c>
      <c r="F6" s="18" t="s">
        <v>41</v>
      </c>
    </row>
    <row r="7" spans="1:6" ht="20.5" thickBot="1">
      <c r="A7" s="2"/>
      <c r="B7" s="21" t="s">
        <v>39</v>
      </c>
      <c r="C7" s="22"/>
      <c r="D7" s="23">
        <f>266.01-E7</f>
        <v>233.51</v>
      </c>
      <c r="E7" s="27">
        <v>32.5</v>
      </c>
      <c r="F7" s="18" t="s">
        <v>42</v>
      </c>
    </row>
    <row r="8" spans="1:6" ht="15" thickBot="1">
      <c r="A8" s="2"/>
      <c r="B8" s="21" t="s">
        <v>14</v>
      </c>
      <c r="C8" s="22"/>
      <c r="D8" s="23">
        <f>196.49-E8</f>
        <v>180.49</v>
      </c>
      <c r="E8" s="27">
        <v>16</v>
      </c>
      <c r="F8" s="18" t="s">
        <v>40</v>
      </c>
    </row>
    <row r="9" spans="1:6" ht="15" thickBot="1">
      <c r="A9" s="2"/>
      <c r="B9" s="21" t="s">
        <v>15</v>
      </c>
      <c r="C9" s="22"/>
      <c r="D9" s="23">
        <f>192.42-E9</f>
        <v>176.42</v>
      </c>
      <c r="E9" s="27">
        <v>16</v>
      </c>
      <c r="F9" s="18" t="s">
        <v>44</v>
      </c>
    </row>
    <row r="10" spans="1:6" ht="15" thickBot="1">
      <c r="A10" s="2"/>
      <c r="B10" s="21" t="s">
        <v>16</v>
      </c>
      <c r="C10" s="22"/>
      <c r="D10" s="23">
        <f>194.25-E10</f>
        <v>178.25</v>
      </c>
      <c r="E10" s="27">
        <v>16</v>
      </c>
      <c r="F10" s="18" t="s">
        <v>45</v>
      </c>
    </row>
    <row r="11" spans="1:6" ht="15" thickBot="1">
      <c r="A11" s="2"/>
      <c r="B11" s="21" t="s">
        <v>17</v>
      </c>
      <c r="C11" s="22"/>
      <c r="D11" s="23">
        <f>213.78-E11</f>
        <v>197.78</v>
      </c>
      <c r="E11" s="27">
        <v>16</v>
      </c>
      <c r="F11" s="18" t="s">
        <v>46</v>
      </c>
    </row>
    <row r="12" spans="1:6" ht="15" thickBot="1">
      <c r="A12" s="2"/>
      <c r="B12" s="21" t="s">
        <v>18</v>
      </c>
      <c r="C12" s="22"/>
      <c r="D12" s="23">
        <f>234.05-E12</f>
        <v>218.05</v>
      </c>
      <c r="E12" s="27">
        <v>16</v>
      </c>
      <c r="F12" s="18" t="s">
        <v>40</v>
      </c>
    </row>
    <row r="13" spans="1:6" ht="15" thickBot="1">
      <c r="A13" s="2"/>
      <c r="B13" s="21" t="s">
        <v>19</v>
      </c>
      <c r="C13" s="22"/>
      <c r="D13" s="23">
        <f>330.8-E13</f>
        <v>298.3</v>
      </c>
      <c r="E13" s="27">
        <v>32.5</v>
      </c>
      <c r="F13" s="18" t="s">
        <v>47</v>
      </c>
    </row>
    <row r="14" spans="1:6" ht="20.5" thickBot="1">
      <c r="A14" s="2"/>
      <c r="B14" s="21" t="s">
        <v>20</v>
      </c>
      <c r="C14" s="22"/>
      <c r="D14" s="23">
        <f>317.25-E14</f>
        <v>284.75</v>
      </c>
      <c r="E14" s="27">
        <v>32.5</v>
      </c>
      <c r="F14" s="18" t="s">
        <v>48</v>
      </c>
    </row>
    <row r="15" spans="1:6" ht="15" thickBot="1">
      <c r="A15" s="2"/>
      <c r="B15" s="21" t="s">
        <v>21</v>
      </c>
      <c r="C15" s="22"/>
      <c r="D15" s="23">
        <f>222.25-E15</f>
        <v>206.25</v>
      </c>
      <c r="E15" s="27">
        <v>16</v>
      </c>
      <c r="F15" s="18" t="s">
        <v>49</v>
      </c>
    </row>
    <row r="16" spans="1:6" ht="15" thickBot="1">
      <c r="A16" s="2"/>
      <c r="B16" s="21" t="s">
        <v>22</v>
      </c>
      <c r="C16" s="22"/>
      <c r="D16" s="23">
        <f>205.95-E16</f>
        <v>189.95</v>
      </c>
      <c r="E16" s="27">
        <v>16</v>
      </c>
      <c r="F16" s="18" t="s">
        <v>50</v>
      </c>
    </row>
    <row r="17" spans="1:7" ht="15" thickBot="1">
      <c r="A17" s="2"/>
      <c r="B17" s="25" t="s">
        <v>23</v>
      </c>
      <c r="C17" s="26"/>
      <c r="D17" s="27">
        <f>210-E17</f>
        <v>194</v>
      </c>
      <c r="E17" s="27">
        <v>16</v>
      </c>
      <c r="F17" s="18" t="s">
        <v>51</v>
      </c>
    </row>
    <row r="18" spans="1:7" ht="15" thickBot="1">
      <c r="A18" s="2"/>
      <c r="B18" s="25" t="s">
        <v>24</v>
      </c>
      <c r="C18" s="26"/>
      <c r="D18" s="23">
        <f>223.07-E18</f>
        <v>207.07</v>
      </c>
      <c r="E18" s="27">
        <v>16</v>
      </c>
      <c r="F18" s="18" t="s">
        <v>52</v>
      </c>
    </row>
    <row r="19" spans="1:7" ht="15" thickBot="1">
      <c r="A19" s="2"/>
      <c r="B19" s="25" t="s">
        <v>25</v>
      </c>
      <c r="C19" s="26"/>
      <c r="D19" s="27">
        <f>240.69-E19</f>
        <v>224.69</v>
      </c>
      <c r="E19" s="27">
        <v>16</v>
      </c>
      <c r="F19" s="28" t="s">
        <v>53</v>
      </c>
    </row>
    <row r="20" spans="1:7" ht="15" thickBot="1">
      <c r="A20" s="2"/>
      <c r="B20" s="25" t="s">
        <v>26</v>
      </c>
      <c r="C20" s="26"/>
      <c r="D20" s="23">
        <f>326.25-E20</f>
        <v>293.75</v>
      </c>
      <c r="E20" s="27">
        <v>32.5</v>
      </c>
      <c r="F20" s="28" t="s">
        <v>54</v>
      </c>
    </row>
    <row r="21" spans="1:7" ht="15" thickBot="1">
      <c r="A21" s="29"/>
      <c r="B21" s="25" t="s">
        <v>27</v>
      </c>
      <c r="C21" s="26"/>
      <c r="D21" s="27">
        <f>295.32-E21</f>
        <v>262.82</v>
      </c>
      <c r="E21" s="27">
        <v>32.5</v>
      </c>
      <c r="F21" s="28" t="s">
        <v>54</v>
      </c>
    </row>
    <row r="22" spans="1:7" ht="15" thickBot="1">
      <c r="A22" s="2"/>
      <c r="B22" s="25" t="s">
        <v>28</v>
      </c>
      <c r="C22" s="26"/>
      <c r="D22" s="23">
        <f>213-E22</f>
        <v>197</v>
      </c>
      <c r="E22" s="27">
        <v>16</v>
      </c>
      <c r="F22" s="28" t="s">
        <v>55</v>
      </c>
    </row>
    <row r="23" spans="1:7" ht="15" thickBot="1">
      <c r="A23" s="2"/>
      <c r="B23" s="25" t="s">
        <v>29</v>
      </c>
      <c r="C23" s="26"/>
      <c r="D23" s="27">
        <f>196.47-E23</f>
        <v>180.47</v>
      </c>
      <c r="E23" s="27">
        <v>16</v>
      </c>
      <c r="F23" s="28" t="s">
        <v>56</v>
      </c>
    </row>
    <row r="24" spans="1:7" ht="15" thickBot="1">
      <c r="A24" s="2"/>
      <c r="B24" s="21" t="s">
        <v>30</v>
      </c>
      <c r="C24" s="22"/>
      <c r="D24" s="23">
        <f>193.75-E24</f>
        <v>177.75</v>
      </c>
      <c r="E24" s="27">
        <v>16</v>
      </c>
      <c r="F24" s="28" t="s">
        <v>57</v>
      </c>
    </row>
    <row r="25" spans="1:7" ht="15" thickBot="1">
      <c r="A25" s="2"/>
      <c r="B25" s="21" t="s">
        <v>31</v>
      </c>
      <c r="C25" s="22"/>
      <c r="D25" s="23">
        <f>210.25-E25</f>
        <v>194.25</v>
      </c>
      <c r="E25" s="27">
        <v>16</v>
      </c>
      <c r="F25" s="28" t="s">
        <v>58</v>
      </c>
    </row>
    <row r="26" spans="1:7" ht="15" customHeight="1" thickBot="1">
      <c r="A26" s="2"/>
      <c r="B26" s="21" t="s">
        <v>32</v>
      </c>
      <c r="C26" s="22"/>
      <c r="D26" s="23">
        <f>227.84-E26</f>
        <v>211.84</v>
      </c>
      <c r="E26" s="27">
        <v>16</v>
      </c>
      <c r="F26" s="18" t="s">
        <v>40</v>
      </c>
    </row>
    <row r="27" spans="1:7" ht="15" customHeight="1" thickBot="1">
      <c r="A27" s="2"/>
      <c r="B27" s="21" t="s">
        <v>33</v>
      </c>
      <c r="C27" s="22"/>
      <c r="D27" s="23">
        <f>323.5-E27</f>
        <v>291</v>
      </c>
      <c r="E27" s="27">
        <v>32.5</v>
      </c>
      <c r="F27" s="18" t="s">
        <v>59</v>
      </c>
    </row>
    <row r="28" spans="1:7" ht="15" customHeight="1" thickBot="1">
      <c r="A28" s="2"/>
      <c r="B28" s="21" t="s">
        <v>34</v>
      </c>
      <c r="C28" s="22"/>
      <c r="D28" s="23">
        <f>314.5-E28</f>
        <v>282</v>
      </c>
      <c r="E28" s="27">
        <v>32.5</v>
      </c>
      <c r="F28" s="18" t="s">
        <v>60</v>
      </c>
    </row>
    <row r="29" spans="1:7" ht="15" customHeight="1" thickBot="1">
      <c r="A29" s="2"/>
      <c r="B29" s="21" t="s">
        <v>35</v>
      </c>
      <c r="C29" s="22"/>
      <c r="D29" s="23">
        <f>225.5-E29</f>
        <v>209.5</v>
      </c>
      <c r="E29" s="27">
        <v>16</v>
      </c>
      <c r="F29" s="18" t="s">
        <v>40</v>
      </c>
    </row>
    <row r="30" spans="1:7" ht="15" customHeight="1" thickBot="1">
      <c r="A30" s="2"/>
      <c r="B30" s="21" t="s">
        <v>36</v>
      </c>
      <c r="C30" s="22"/>
      <c r="D30" s="23">
        <f>202.25-E30</f>
        <v>186.25</v>
      </c>
      <c r="E30" s="27">
        <v>16</v>
      </c>
      <c r="F30" s="28" t="s">
        <v>57</v>
      </c>
    </row>
    <row r="31" spans="1:7" ht="15" customHeight="1" thickBot="1">
      <c r="A31" s="2"/>
      <c r="B31" s="21" t="s">
        <v>37</v>
      </c>
      <c r="C31" s="22"/>
      <c r="D31" s="24">
        <f>209.75-E31</f>
        <v>193.75</v>
      </c>
      <c r="E31" s="27">
        <v>16</v>
      </c>
      <c r="F31" s="28" t="s">
        <v>57</v>
      </c>
    </row>
    <row r="32" spans="1:7" ht="15" customHeight="1" thickBot="1">
      <c r="A32" s="2"/>
      <c r="B32" s="21" t="s">
        <v>61</v>
      </c>
      <c r="C32" s="22"/>
      <c r="D32" s="24">
        <f>200.5-E32</f>
        <v>184.5</v>
      </c>
      <c r="E32" s="27">
        <v>16</v>
      </c>
      <c r="F32" s="18" t="s">
        <v>62</v>
      </c>
      <c r="G32" s="30"/>
    </row>
    <row r="33" spans="1:7" ht="15" thickBot="1">
      <c r="A33" s="2"/>
      <c r="B33" s="21"/>
      <c r="C33" s="2"/>
      <c r="D33" s="20"/>
      <c r="E33" s="23"/>
      <c r="F33" s="18"/>
      <c r="G33" s="18"/>
    </row>
    <row r="34" spans="1:7" ht="15" thickBot="1">
      <c r="A34" s="2"/>
      <c r="B34" s="21"/>
      <c r="C34" s="2"/>
      <c r="D34" s="20"/>
      <c r="E34" s="23"/>
      <c r="F34" s="18"/>
    </row>
    <row r="35" spans="1:7" ht="42.5" thickBot="1">
      <c r="A35" s="10"/>
      <c r="B35" s="11" t="s">
        <v>8</v>
      </c>
      <c r="C35" s="12"/>
      <c r="D35" s="17">
        <f>SUM(D4:D34)</f>
        <v>6300.56</v>
      </c>
      <c r="E35" s="31">
        <f>SUM(E4:E34)</f>
        <v>595.92000000000007</v>
      </c>
      <c r="F35" s="19">
        <f>SUM(D35:E35)</f>
        <v>6896.4800000000005</v>
      </c>
    </row>
    <row r="36" spans="1:7" ht="15" thickBot="1">
      <c r="A36" s="2"/>
      <c r="B36" s="13" t="s">
        <v>7</v>
      </c>
      <c r="C36" s="2"/>
      <c r="D36" s="14">
        <f>D35*40.38</f>
        <v>254416.61280000003</v>
      </c>
      <c r="E36" s="15">
        <f>E35*42.84</f>
        <v>25529.212800000005</v>
      </c>
      <c r="F36" s="16">
        <f>D36+E36</f>
        <v>279945.82560000004</v>
      </c>
      <c r="G36" s="5"/>
    </row>
    <row r="37" spans="1:7">
      <c r="A37" s="5"/>
      <c r="B37" s="6"/>
      <c r="C37" s="7"/>
      <c r="D37" s="8"/>
      <c r="E37" s="8"/>
      <c r="F37" s="9"/>
      <c r="G37" s="5"/>
    </row>
    <row r="38" spans="1:7">
      <c r="A38" s="4" t="s">
        <v>10</v>
      </c>
    </row>
    <row r="40" spans="1:7">
      <c r="A40" s="3" t="s">
        <v>9</v>
      </c>
    </row>
    <row r="42" spans="1:7">
      <c r="A42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Garrote, Nelson</cp:lastModifiedBy>
  <cp:lastPrinted>2022-11-01T11:00:33Z</cp:lastPrinted>
  <dcterms:created xsi:type="dcterms:W3CDTF">2021-01-02T10:15:23Z</dcterms:created>
  <dcterms:modified xsi:type="dcterms:W3CDTF">2024-03-01T10:27:03Z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1518805351</vt:i4>
  </property>
  <property fmtid="{D5CDD505-2E9C-101B-9397-08002B2CF9AE}" pid="3" name="_NewReviewCycle">
    <vt:lpwstr/>
  </property>
  <property fmtid="{D5CDD505-2E9C-101B-9397-08002B2CF9AE}" pid="4" name="_EmailSubject">
    <vt:lpwstr>Invoice n°2332585</vt:lpwstr>
  </property>
  <property fmtid="{D5CDD505-2E9C-101B-9397-08002B2CF9AE}" pid="5" name="_AuthorEmail">
    <vt:lpwstr>debiteurs-ouest@ch.issworld.com</vt:lpwstr>
  </property>
  <property fmtid="{D5CDD505-2E9C-101B-9397-08002B2CF9AE}" pid="6" name="_AuthorEmailDisplayName">
    <vt:lpwstr>Debiteurs-ouest CH</vt:lpwstr>
  </property>
  <property fmtid="{D5CDD505-2E9C-101B-9397-08002B2CF9AE}" pid="7" name="_PreviousAdHocReviewCycleID">
    <vt:i4>-1361674723</vt:i4>
  </property>
</Properties>
</file>