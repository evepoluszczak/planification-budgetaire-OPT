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N:\11_FS_West\05_Geneve_GKR\01_Mgmt\Facility\05.Clients\Lot A\Facturation Mensuel\2023\12 Décembre\"/>
    </mc:Choice>
  </mc:AlternateContent>
  <xr:revisionPtr revIDLastSave="0" documentId="13_ncr:1_{3198267E-088C-4874-81C9-AAF9125F631B}" xr6:coauthVersionLast="47" xr6:coauthVersionMax="47" xr10:uidLastSave="{00000000-0000-0000-0000-000000000000}"/>
  <bookViews>
    <workbookView xWindow="30360" yWindow="1560" windowWidth="19185" windowHeight="10785" xr2:uid="{186A2E8D-9ABD-48A3-A0CB-9419D6C088A6}"/>
  </bookViews>
  <sheets>
    <sheet name="Feuil1" sheetId="1" r:id="rId1"/>
  </sheets>
  <definedNames>
    <definedName name="_xlnm.Print_Area" localSheetId="0">Feuil1!$A$1:$F$45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4" i="1" l="1"/>
  <c r="D33" i="1"/>
  <c r="D32" i="1"/>
  <c r="E38" i="1" l="1"/>
  <c r="D31" i="1"/>
  <c r="D30" i="1"/>
  <c r="D15" i="1"/>
  <c r="D9" i="1"/>
  <c r="D29" i="1"/>
  <c r="D28" i="1"/>
  <c r="D27" i="1"/>
  <c r="D26" i="1"/>
  <c r="D25" i="1"/>
  <c r="D24" i="1"/>
  <c r="D23" i="1"/>
  <c r="D22" i="1"/>
  <c r="D16" i="1"/>
  <c r="D21" i="1"/>
  <c r="D20" i="1"/>
  <c r="D19" i="1"/>
  <c r="D18" i="1"/>
  <c r="D17" i="1"/>
  <c r="D14" i="1"/>
  <c r="D13" i="1"/>
  <c r="D38" i="1" l="1"/>
  <c r="D12" i="1"/>
  <c r="D11" i="1"/>
  <c r="D10" i="1"/>
  <c r="D8" i="1"/>
  <c r="D7" i="1"/>
  <c r="D6" i="1"/>
  <c r="D5" i="1"/>
  <c r="D4" i="1"/>
  <c r="D39" i="1" l="1"/>
  <c r="E39" i="1" l="1"/>
  <c r="F39" i="1" l="1"/>
  <c r="F38" i="1" l="1"/>
</calcChain>
</file>

<file path=xl/sharedStrings.xml><?xml version="1.0" encoding="utf-8"?>
<sst xmlns="http://schemas.openxmlformats.org/spreadsheetml/2006/main" count="77" uniqueCount="75">
  <si>
    <t>Nom</t>
  </si>
  <si>
    <t>Date ouvrable</t>
  </si>
  <si>
    <t>Jour de la semaine</t>
  </si>
  <si>
    <t>Heures</t>
  </si>
  <si>
    <t>Facturation</t>
  </si>
  <si>
    <t>Coordinateurs</t>
  </si>
  <si>
    <t>*Ce récapitulatif tient compte des différentes demandes ajouté et supprimés dans le mois</t>
  </si>
  <si>
    <t>Total en Chf</t>
  </si>
  <si>
    <t>Total avec les heures coordinateurs séparées</t>
  </si>
  <si>
    <t>Tarifs horaires coordinateurs : 42,84-chf</t>
  </si>
  <si>
    <t>Tarifs Horaires de base : 40,38-Chf</t>
  </si>
  <si>
    <t>Rapport des heures Agents du Terminal décembre 2023</t>
  </si>
  <si>
    <t>Total 01.12.2023</t>
  </si>
  <si>
    <t>Total 02.12.2023</t>
  </si>
  <si>
    <t>Total 03.12.2023</t>
  </si>
  <si>
    <t>Total 04.12.2023</t>
  </si>
  <si>
    <t>Total 05.12.2023</t>
  </si>
  <si>
    <t>Total 06.12.2023</t>
  </si>
  <si>
    <t>Total 07.12.2023</t>
  </si>
  <si>
    <t>Total 08.12.2023</t>
  </si>
  <si>
    <t>Total 09.12.2023</t>
  </si>
  <si>
    <t>Total 10.12.2023</t>
  </si>
  <si>
    <t>Total 11.12.2023</t>
  </si>
  <si>
    <t>Total 12.12.2023</t>
  </si>
  <si>
    <t>Total 13.12.2023</t>
  </si>
  <si>
    <t>Total 14.12.2023</t>
  </si>
  <si>
    <t>Total 15.12.2023</t>
  </si>
  <si>
    <t>Total 16.12.2023</t>
  </si>
  <si>
    <t>Arc Stéphane/Grégory + Formateurs Ihsan, Leila, Xheneta, Daniela</t>
  </si>
  <si>
    <t>Arc Stéphane/Elie +Formateurs Ihsan, Xheneta, Nicolas + Coordi Isabelle</t>
  </si>
  <si>
    <t>Arc Guillaume/Naomé +Formateurs Jihan, Leila, Daniela, Lauren, Isabelle + Xheneta Coordi</t>
  </si>
  <si>
    <t>Arc Albina/Juan + Formateurs Ihsan, Leila, Isabelle</t>
  </si>
  <si>
    <t>Arc Isabelle/Naomé +Formateur Guillaume B., Leila</t>
  </si>
  <si>
    <t>Arc Albina/Fiona Formateurs Nat,  Guillaume B.</t>
  </si>
  <si>
    <t>Arc Albina/Ihsan + Formateur Naomé</t>
  </si>
  <si>
    <t>Arc Albina/Jihan + Formateurs Juan, Guillaume, Aya + Coordi Boimond</t>
  </si>
  <si>
    <t>Arc Nat/Stéphane</t>
  </si>
  <si>
    <t>Arc Nat/Elie</t>
  </si>
  <si>
    <t>Arc Juan/Jihan</t>
  </si>
  <si>
    <t>Arc Guillaume L./Isabelle</t>
  </si>
  <si>
    <t>Arc Guillaume B./Guillaume L.</t>
  </si>
  <si>
    <t>Arc Nicolas /Grégory</t>
  </si>
  <si>
    <t>Arc Stéphane/Grégory</t>
  </si>
  <si>
    <t>DTO Isabelle</t>
  </si>
  <si>
    <t>Arc Stéphane/Jihan</t>
  </si>
  <si>
    <t>Arc Ihsan/Leila</t>
  </si>
  <si>
    <t>Arc Ihsan/ Aya, Stéphane</t>
  </si>
  <si>
    <t>Arc Nicolas/Elie</t>
  </si>
  <si>
    <t>Total 17.12.2023</t>
  </si>
  <si>
    <t>Total 18.12.2023</t>
  </si>
  <si>
    <t>Total 19.12.2023</t>
  </si>
  <si>
    <t>Total 20.12.2023</t>
  </si>
  <si>
    <t>Total 21.12.2023</t>
  </si>
  <si>
    <t>Total 22.12.2023</t>
  </si>
  <si>
    <t>Total 23.12.2023</t>
  </si>
  <si>
    <t>Total 24.12.2023</t>
  </si>
  <si>
    <t>Total 25.12.2023</t>
  </si>
  <si>
    <t>Total 26.12.2023</t>
  </si>
  <si>
    <t>Nicolas/Elie</t>
  </si>
  <si>
    <t>Arc Albina/Naomé</t>
  </si>
  <si>
    <t>Arc Guillaume/Xheneta</t>
  </si>
  <si>
    <t>Total 27.12.2023</t>
  </si>
  <si>
    <t>Total 28.12.2023</t>
  </si>
  <si>
    <t>Arc Naomé/Isabelle +Albina formatrice</t>
  </si>
  <si>
    <t xml:space="preserve">Correction  facture novembre journée formation 46 personnes sur 3 jours à 8h </t>
  </si>
  <si>
    <t>Arc Stéphane/Grégory + Coordi Ihsan/Aya</t>
  </si>
  <si>
    <t>Arc Stéphane/Jihan + Coordi Ihsan/Naomé</t>
  </si>
  <si>
    <t>Arc Stéphane/Jihan + Coordi Nat/Guillaume</t>
  </si>
  <si>
    <t>Report doublures 27,28,29,30 Novembre</t>
  </si>
  <si>
    <t>ArcGrégory/Ihsan</t>
  </si>
  <si>
    <t>Arc Grégory/Ihsan + Coordi Xheneta/Elie</t>
  </si>
  <si>
    <t>Arc Grégory/Ihsan + Coordi Xheneta/Aya</t>
  </si>
  <si>
    <t>Total 29.12.2023</t>
  </si>
  <si>
    <t>Total 30.12.2023</t>
  </si>
  <si>
    <t>Total 31.12.2023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</si>
</sst>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#,##0.00\ &quot;CHF&quot;"/>
    <numFmt numFmtId="166" formatCode="#,##0.00;\-#,##0.00;\ \.\ \ 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3A3F7"/>
      <name val="Arial"/>
      <family val="2"/>
    </font>
    <font>
      <sz val="8"/>
      <color rgb="FFFFFFFF"/>
      <name val="Arial"/>
      <family val="2"/>
    </font>
    <font>
      <sz val="8"/>
      <color rgb="FF454545"/>
      <name val="Arial"/>
      <family val="2"/>
    </font>
    <font>
      <b/>
      <sz val="8"/>
      <color rgb="FF454545"/>
      <name val="Arial"/>
      <family val="2"/>
    </font>
    <font>
      <sz val="10"/>
      <color theme="1"/>
      <name val="Arial"/>
      <family val="2"/>
    </font>
    <font>
      <sz val="10"/>
      <color rgb="FF454545"/>
      <name val="Arial"/>
      <family val="2"/>
    </font>
    <font>
      <sz val="8"/>
      <name val="Calibri"/>
      <family val="2"/>
      <scheme val="minor"/>
    </font>
    <font>
      <b/>
      <sz val="8"/>
      <color rgb="FF454545"/>
      <name val="Andale WT"/>
      <family val="2"/>
    </font>
    <font>
      <sz val="8"/>
      <color rgb="FF454545"/>
      <name val="Andale WT"/>
      <family val="2"/>
    </font>
    <font>
      <sz val="8"/>
      <color rgb="FF454545"/>
      <name val="Andale WT"/>
    </font>
  </fonts>
  <fills count="6">
    <fill>
      <patternFill patternType="none"/>
    </fill>
    <fill>
      <patternFill patternType="gray125"/>
    </fill>
    <fill>
      <patternFill patternType="solid">
        <fgColor rgb="FF6699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B3B3B3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2E2E2"/>
      </left>
      <right/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2" xfId="0" applyFont="1" applyFill="1" applyBorder="1" applyAlignment="1">
      <alignment horizontal="center" vertical="top"/>
    </xf>
    <xf numFmtId="0" fontId="4" fillId="0" borderId="3" xfId="0" applyFont="1" applyBorder="1" applyAlignment="1">
      <alignment horizontal="right" vertical="top"/>
    </xf>
    <xf numFmtId="0" fontId="6" fillId="0" borderId="0" xfId="0" applyFont="1"/>
    <xf numFmtId="0" fontId="7" fillId="0" borderId="0" xfId="0" applyFont="1" applyAlignment="1">
      <alignment horizontal="left" vertical="top"/>
    </xf>
    <xf numFmtId="0" fontId="0" fillId="4" borderId="0" xfId="0" applyFill="1"/>
    <xf numFmtId="164" fontId="5" fillId="4" borderId="0" xfId="0" applyNumberFormat="1" applyFont="1" applyFill="1" applyAlignment="1">
      <alignment horizontal="center" vertical="top"/>
    </xf>
    <xf numFmtId="0" fontId="5" fillId="4" borderId="0" xfId="0" applyFont="1" applyFill="1" applyAlignment="1">
      <alignment horizontal="center" vertical="top"/>
    </xf>
    <xf numFmtId="0" fontId="5" fillId="4" borderId="0" xfId="0" applyFont="1" applyFill="1" applyAlignment="1">
      <alignment horizontal="right" vertical="top"/>
    </xf>
    <xf numFmtId="165" fontId="1" fillId="4" borderId="0" xfId="0" applyNumberFormat="1" applyFont="1" applyFill="1" applyAlignment="1">
      <alignment horizontal="center"/>
    </xf>
    <xf numFmtId="0" fontId="5" fillId="0" borderId="3" xfId="0" applyFont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5" fontId="5" fillId="5" borderId="4" xfId="0" applyNumberFormat="1" applyFont="1" applyFill="1" applyBorder="1" applyAlignment="1">
      <alignment horizontal="center" vertical="top"/>
    </xf>
    <xf numFmtId="2" fontId="5" fillId="3" borderId="3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right" vertical="top" wrapText="1"/>
    </xf>
    <xf numFmtId="2" fontId="5" fillId="3" borderId="6" xfId="0" applyNumberFormat="1" applyFont="1" applyFill="1" applyBorder="1" applyAlignment="1">
      <alignment horizontal="center" vertical="center"/>
    </xf>
    <xf numFmtId="166" fontId="10" fillId="0" borderId="0" xfId="0" applyNumberFormat="1" applyFont="1" applyAlignment="1">
      <alignment horizontal="right" vertical="top"/>
    </xf>
    <xf numFmtId="164" fontId="9" fillId="0" borderId="3" xfId="0" applyNumberFormat="1" applyFont="1" applyBorder="1" applyAlignment="1">
      <alignment horizontal="right" vertical="top"/>
    </xf>
    <xf numFmtId="0" fontId="10" fillId="0" borderId="3" xfId="0" applyFont="1" applyBorder="1" applyAlignment="1">
      <alignment horizontal="left" vertical="top"/>
    </xf>
    <xf numFmtId="166" fontId="10" fillId="0" borderId="3" xfId="0" applyNumberFormat="1" applyFont="1" applyBorder="1" applyAlignment="1">
      <alignment horizontal="right" vertical="top"/>
    </xf>
    <xf numFmtId="166" fontId="10" fillId="4" borderId="3" xfId="0" applyNumberFormat="1" applyFont="1" applyFill="1" applyBorder="1" applyAlignment="1">
      <alignment horizontal="right" vertical="top"/>
    </xf>
    <xf numFmtId="166" fontId="10" fillId="0" borderId="0" xfId="0" applyNumberFormat="1" applyFont="1" applyBorder="1" applyAlignment="1">
      <alignment horizontal="right" vertical="top"/>
    </xf>
    <xf numFmtId="164" fontId="9" fillId="0" borderId="3" xfId="0" applyNumberFormat="1" applyFont="1" applyFill="1" applyBorder="1" applyAlignment="1">
      <alignment horizontal="right" vertical="top"/>
    </xf>
    <xf numFmtId="0" fontId="10" fillId="0" borderId="3" xfId="0" applyFont="1" applyFill="1" applyBorder="1" applyAlignment="1">
      <alignment horizontal="left" vertical="top"/>
    </xf>
    <xf numFmtId="166" fontId="10" fillId="0" borderId="3" xfId="0" applyNumberFormat="1" applyFont="1" applyFill="1" applyBorder="1" applyAlignment="1">
      <alignment horizontal="right" vertical="top"/>
    </xf>
    <xf numFmtId="0" fontId="4" fillId="0" borderId="3" xfId="0" applyFont="1" applyFill="1" applyBorder="1" applyAlignment="1">
      <alignment horizontal="right" vertical="top" wrapText="1"/>
    </xf>
    <xf numFmtId="0" fontId="4" fillId="0" borderId="3" xfId="0" applyFont="1" applyFill="1" applyBorder="1" applyAlignment="1">
      <alignment horizontal="right" vertical="top"/>
    </xf>
    <xf numFmtId="0" fontId="4" fillId="0" borderId="3" xfId="0" applyFont="1" applyBorder="1" applyAlignment="1">
      <alignment horizontal="center" vertical="center" wrapText="1"/>
    </xf>
    <xf numFmtId="166" fontId="5" fillId="3" borderId="3" xfId="0" applyNumberFormat="1" applyFont="1" applyFill="1" applyBorder="1" applyAlignment="1">
      <alignment horizontal="center" vertical="center"/>
    </xf>
    <xf numFmtId="166" fontId="10" fillId="0" borderId="6" xfId="0" applyNumberFormat="1" applyFont="1" applyFill="1" applyBorder="1" applyAlignment="1">
      <alignment horizontal="right" vertical="top"/>
    </xf>
    <xf numFmtId="0" fontId="4" fillId="0" borderId="6" xfId="0" applyFont="1" applyFill="1" applyBorder="1" applyAlignment="1">
      <alignment horizontal="right" vertical="top" wrapText="1"/>
    </xf>
    <xf numFmtId="2" fontId="11" fillId="0" borderId="3" xfId="0" applyNumberFormat="1" applyFont="1" applyBorder="1" applyAlignment="1">
      <alignment horizontal="right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E8B7-D96C-4A0A-9087-5FDDEAAC6912}">
  <sheetPr>
    <pageSetUpPr fitToPage="1"/>
  </sheetPr>
  <dimension ref="A1:G45"/>
  <sheetViews>
    <sheetView tabSelected="1" topLeftCell="A27" zoomScale="130" zoomScaleNormal="130" workbookViewId="0">
      <selection activeCell="G35" sqref="G35"/>
    </sheetView>
  </sheetViews>
  <sheetFormatPr baseColWidth="10" defaultRowHeight="15"/>
  <cols>
    <col min="1" max="1" width="12.42578125" customWidth="1"/>
    <col min="2" max="2" width="15.28515625" customWidth="1"/>
    <col min="3" max="4" width="12.28515625" customWidth="1"/>
    <col min="5" max="5" width="11.7109375" customWidth="1"/>
    <col min="6" max="6" width="30.85546875" customWidth="1"/>
  </cols>
  <sheetData>
    <row r="1" spans="1:6">
      <c r="A1" s="36" t="s">
        <v>11</v>
      </c>
      <c r="B1" s="36"/>
      <c r="C1" s="36"/>
      <c r="D1" s="36"/>
      <c r="E1" s="36"/>
      <c r="F1" s="36"/>
    </row>
    <row r="2" spans="1:6" ht="15.75" thickBot="1"/>
    <row r="3" spans="1:6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4</v>
      </c>
    </row>
    <row r="4" spans="1:6" ht="23.25" thickBot="1">
      <c r="A4" s="2"/>
      <c r="B4" s="21" t="s">
        <v>12</v>
      </c>
      <c r="C4" s="22"/>
      <c r="D4" s="23">
        <f>239.06-E4</f>
        <v>192.56</v>
      </c>
      <c r="E4" s="28">
        <v>46.5</v>
      </c>
      <c r="F4" s="18" t="s">
        <v>28</v>
      </c>
    </row>
    <row r="5" spans="1:6" ht="23.25" thickBot="1">
      <c r="A5" s="2"/>
      <c r="B5" s="21" t="s">
        <v>13</v>
      </c>
      <c r="C5" s="22"/>
      <c r="D5" s="23">
        <f>227-E5</f>
        <v>183</v>
      </c>
      <c r="E5" s="28">
        <v>44</v>
      </c>
      <c r="F5" s="18" t="s">
        <v>29</v>
      </c>
    </row>
    <row r="6" spans="1:6" ht="34.5" thickBot="1">
      <c r="A6" s="2"/>
      <c r="B6" s="21" t="s">
        <v>14</v>
      </c>
      <c r="C6" s="22"/>
      <c r="D6" s="23">
        <f>290.12-E6</f>
        <v>231.12</v>
      </c>
      <c r="E6" s="28">
        <v>59</v>
      </c>
      <c r="F6" s="18" t="s">
        <v>30</v>
      </c>
    </row>
    <row r="7" spans="1:6" ht="23.25" thickBot="1">
      <c r="A7" s="2"/>
      <c r="B7" s="21" t="s">
        <v>15</v>
      </c>
      <c r="C7" s="22"/>
      <c r="D7" s="23">
        <f>251.5-E7</f>
        <v>213</v>
      </c>
      <c r="E7" s="28">
        <v>38.5</v>
      </c>
      <c r="F7" s="18" t="s">
        <v>31</v>
      </c>
    </row>
    <row r="8" spans="1:6" ht="23.25" thickBot="1">
      <c r="A8" s="2"/>
      <c r="B8" s="21" t="s">
        <v>16</v>
      </c>
      <c r="C8" s="22"/>
      <c r="D8" s="23">
        <f>219-E8</f>
        <v>189</v>
      </c>
      <c r="E8" s="28">
        <v>30</v>
      </c>
      <c r="F8" s="18" t="s">
        <v>32</v>
      </c>
    </row>
    <row r="9" spans="1:6" ht="23.25" thickBot="1">
      <c r="A9" s="2"/>
      <c r="B9" s="21" t="s">
        <v>17</v>
      </c>
      <c r="C9" s="22"/>
      <c r="D9" s="23">
        <f>222.5-E9</f>
        <v>193</v>
      </c>
      <c r="E9" s="23">
        <v>29.5</v>
      </c>
      <c r="F9" s="18" t="s">
        <v>33</v>
      </c>
    </row>
    <row r="10" spans="1:6" ht="15.75" thickBot="1">
      <c r="A10" s="2"/>
      <c r="B10" s="21" t="s">
        <v>18</v>
      </c>
      <c r="C10" s="22"/>
      <c r="D10" s="23">
        <f>244.7-E10</f>
        <v>222.7</v>
      </c>
      <c r="E10" s="23">
        <v>22</v>
      </c>
      <c r="F10" s="18" t="s">
        <v>34</v>
      </c>
    </row>
    <row r="11" spans="1:6" ht="23.25" thickBot="1">
      <c r="A11" s="2"/>
      <c r="B11" s="21" t="s">
        <v>19</v>
      </c>
      <c r="C11" s="22"/>
      <c r="D11" s="23">
        <f>257.17-E11</f>
        <v>224.17000000000002</v>
      </c>
      <c r="E11" s="23">
        <v>33</v>
      </c>
      <c r="F11" s="18" t="s">
        <v>35</v>
      </c>
    </row>
    <row r="12" spans="1:6" ht="15.75" thickBot="1">
      <c r="A12" s="2"/>
      <c r="B12" s="21" t="s">
        <v>20</v>
      </c>
      <c r="C12" s="22"/>
      <c r="D12" s="23">
        <f>220.5-E12</f>
        <v>204.5</v>
      </c>
      <c r="E12" s="23">
        <v>16</v>
      </c>
      <c r="F12" s="18" t="s">
        <v>37</v>
      </c>
    </row>
    <row r="13" spans="1:6" ht="15.75" thickBot="1">
      <c r="A13" s="2"/>
      <c r="B13" s="21" t="s">
        <v>21</v>
      </c>
      <c r="C13" s="22"/>
      <c r="D13" s="23">
        <f>246.3-E13</f>
        <v>230.3</v>
      </c>
      <c r="E13" s="23">
        <v>16</v>
      </c>
      <c r="F13" s="18" t="s">
        <v>36</v>
      </c>
    </row>
    <row r="14" spans="1:6" ht="15.75" thickBot="1">
      <c r="A14" s="2"/>
      <c r="B14" s="21" t="s">
        <v>22</v>
      </c>
      <c r="C14" s="22"/>
      <c r="D14" s="23">
        <f>234.5-E14</f>
        <v>218.5</v>
      </c>
      <c r="E14" s="23">
        <v>16</v>
      </c>
      <c r="F14" s="18" t="s">
        <v>38</v>
      </c>
    </row>
    <row r="15" spans="1:6" ht="15.75" thickBot="1">
      <c r="A15" s="2"/>
      <c r="B15" s="21" t="s">
        <v>23</v>
      </c>
      <c r="C15" s="22"/>
      <c r="D15" s="23">
        <f>227.25-E15</f>
        <v>203</v>
      </c>
      <c r="E15" s="23">
        <v>24.25</v>
      </c>
      <c r="F15" s="18" t="s">
        <v>63</v>
      </c>
    </row>
    <row r="16" spans="1:6" ht="15.75" thickBot="1">
      <c r="A16" s="2"/>
      <c r="B16" s="21" t="s">
        <v>24</v>
      </c>
      <c r="C16" s="22"/>
      <c r="D16" s="23">
        <f>226.08-E16</f>
        <v>210.08</v>
      </c>
      <c r="E16" s="23">
        <v>16</v>
      </c>
      <c r="F16" s="18" t="s">
        <v>39</v>
      </c>
    </row>
    <row r="17" spans="1:6" ht="15.75" thickBot="1">
      <c r="A17" s="2"/>
      <c r="B17" s="26" t="s">
        <v>25</v>
      </c>
      <c r="C17" s="27"/>
      <c r="D17" s="28">
        <f>201.03-E17</f>
        <v>185.03</v>
      </c>
      <c r="E17" s="23">
        <v>16</v>
      </c>
      <c r="F17" s="29" t="s">
        <v>40</v>
      </c>
    </row>
    <row r="18" spans="1:6" ht="15.75" thickBot="1">
      <c r="A18" s="2"/>
      <c r="B18" s="26" t="s">
        <v>26</v>
      </c>
      <c r="C18" s="27"/>
      <c r="D18" s="23">
        <f>239.5-E18</f>
        <v>223.5</v>
      </c>
      <c r="E18" s="23">
        <v>16</v>
      </c>
      <c r="F18" s="29" t="s">
        <v>41</v>
      </c>
    </row>
    <row r="19" spans="1:6" ht="15.75" thickBot="1">
      <c r="A19" s="2"/>
      <c r="B19" s="26" t="s">
        <v>27</v>
      </c>
      <c r="C19" s="27"/>
      <c r="D19" s="28">
        <f>301.25-E19</f>
        <v>269.5</v>
      </c>
      <c r="E19" s="23">
        <v>31.75</v>
      </c>
      <c r="F19" s="29" t="s">
        <v>65</v>
      </c>
    </row>
    <row r="20" spans="1:6" ht="15.75" thickBot="1">
      <c r="A20" s="2"/>
      <c r="B20" s="26" t="s">
        <v>48</v>
      </c>
      <c r="C20" s="27"/>
      <c r="D20" s="23">
        <f>301.22-E20</f>
        <v>269.47000000000003</v>
      </c>
      <c r="E20" s="23">
        <v>31.75</v>
      </c>
      <c r="F20" s="29" t="s">
        <v>65</v>
      </c>
    </row>
    <row r="21" spans="1:6" ht="15.75" thickBot="1">
      <c r="A21" s="30"/>
      <c r="B21" s="26" t="s">
        <v>49</v>
      </c>
      <c r="C21" s="27"/>
      <c r="D21" s="28">
        <f>204.33-E21</f>
        <v>188.33</v>
      </c>
      <c r="E21" s="23">
        <v>16</v>
      </c>
      <c r="F21" s="29" t="s">
        <v>42</v>
      </c>
    </row>
    <row r="22" spans="1:6" ht="15.75" thickBot="1">
      <c r="A22" s="2"/>
      <c r="B22" s="26" t="s">
        <v>50</v>
      </c>
      <c r="C22" s="27"/>
      <c r="D22" s="23">
        <f>198.75-16</f>
        <v>182.75</v>
      </c>
      <c r="E22" s="23">
        <v>16</v>
      </c>
      <c r="F22" s="29" t="s">
        <v>47</v>
      </c>
    </row>
    <row r="23" spans="1:6" ht="15.75" thickBot="1">
      <c r="A23" s="2"/>
      <c r="B23" s="26" t="s">
        <v>51</v>
      </c>
      <c r="C23" s="27"/>
      <c r="D23" s="28">
        <f>202.82-E23</f>
        <v>186.82</v>
      </c>
      <c r="E23" s="23">
        <v>16</v>
      </c>
      <c r="F23" s="29" t="s">
        <v>58</v>
      </c>
    </row>
    <row r="24" spans="1:6" ht="15.75" thickBot="1">
      <c r="A24" s="2"/>
      <c r="B24" s="21" t="s">
        <v>52</v>
      </c>
      <c r="C24" s="22"/>
      <c r="D24" s="23">
        <f>239.65-E24</f>
        <v>216.15</v>
      </c>
      <c r="E24" s="23">
        <v>23.5</v>
      </c>
      <c r="F24" s="18" t="s">
        <v>46</v>
      </c>
    </row>
    <row r="25" spans="1:6" ht="15.75" thickBot="1">
      <c r="A25" s="2"/>
      <c r="B25" s="21" t="s">
        <v>53</v>
      </c>
      <c r="C25" s="22"/>
      <c r="D25" s="23">
        <f>268.19-E25</f>
        <v>252.19</v>
      </c>
      <c r="E25" s="23">
        <v>16</v>
      </c>
      <c r="F25" s="18" t="s">
        <v>44</v>
      </c>
    </row>
    <row r="26" spans="1:6" ht="15.75" thickBot="1">
      <c r="A26" s="2"/>
      <c r="B26" s="21" t="s">
        <v>54</v>
      </c>
      <c r="C26" s="22"/>
      <c r="D26" s="23">
        <f>328.8-E26</f>
        <v>297.05</v>
      </c>
      <c r="E26" s="23">
        <v>31.75</v>
      </c>
      <c r="F26" s="18" t="s">
        <v>66</v>
      </c>
    </row>
    <row r="27" spans="1:6" ht="15.75" thickBot="1">
      <c r="A27" s="2"/>
      <c r="B27" s="21" t="s">
        <v>55</v>
      </c>
      <c r="C27" s="22"/>
      <c r="D27" s="23">
        <f>321.5-E27</f>
        <v>289.75</v>
      </c>
      <c r="E27" s="23">
        <v>31.75</v>
      </c>
      <c r="F27" s="18" t="s">
        <v>67</v>
      </c>
    </row>
    <row r="28" spans="1:6" ht="15.75" thickBot="1">
      <c r="A28" s="2"/>
      <c r="B28" s="21" t="s">
        <v>56</v>
      </c>
      <c r="C28" s="22"/>
      <c r="D28" s="23">
        <f>188.75-E28</f>
        <v>172.75</v>
      </c>
      <c r="E28" s="23">
        <v>16</v>
      </c>
      <c r="F28" s="18" t="s">
        <v>44</v>
      </c>
    </row>
    <row r="29" spans="1:6" ht="15.75" thickBot="1">
      <c r="A29" s="2"/>
      <c r="B29" s="21" t="s">
        <v>57</v>
      </c>
      <c r="C29" s="22"/>
      <c r="D29" s="23">
        <f>191.25-E29</f>
        <v>175.25</v>
      </c>
      <c r="E29" s="23">
        <v>16</v>
      </c>
      <c r="F29" s="18" t="s">
        <v>45</v>
      </c>
    </row>
    <row r="30" spans="1:6" ht="25.5" customHeight="1" thickBot="1">
      <c r="A30" s="2"/>
      <c r="B30" s="21" t="s">
        <v>61</v>
      </c>
      <c r="C30" s="22"/>
      <c r="D30" s="23">
        <f>204.38-E30</f>
        <v>188.38</v>
      </c>
      <c r="E30" s="23">
        <v>16</v>
      </c>
      <c r="F30" s="18" t="s">
        <v>59</v>
      </c>
    </row>
    <row r="31" spans="1:6" ht="15.75" thickBot="1">
      <c r="A31" s="2"/>
      <c r="B31" s="21" t="s">
        <v>62</v>
      </c>
      <c r="C31" s="22"/>
      <c r="D31" s="24">
        <f>230-E31</f>
        <v>214</v>
      </c>
      <c r="E31" s="23">
        <v>16</v>
      </c>
      <c r="F31" s="18" t="s">
        <v>60</v>
      </c>
    </row>
    <row r="32" spans="1:6" ht="15.75" thickBot="1">
      <c r="A32" s="2"/>
      <c r="B32" s="21" t="s">
        <v>72</v>
      </c>
      <c r="C32" s="22"/>
      <c r="D32" s="23">
        <f>260-E32</f>
        <v>244</v>
      </c>
      <c r="E32" s="23">
        <v>16</v>
      </c>
      <c r="F32" s="18" t="s">
        <v>69</v>
      </c>
    </row>
    <row r="33" spans="1:7" ht="15.75" thickBot="1">
      <c r="A33" s="2"/>
      <c r="B33" s="21" t="s">
        <v>73</v>
      </c>
      <c r="C33" s="22"/>
      <c r="D33" s="25">
        <f>328.57-E33</f>
        <v>296.82</v>
      </c>
      <c r="E33" s="23">
        <v>31.75</v>
      </c>
      <c r="F33" s="18" t="s">
        <v>70</v>
      </c>
    </row>
    <row r="34" spans="1:7" ht="15.75" thickBot="1">
      <c r="B34" s="21" t="s">
        <v>74</v>
      </c>
      <c r="C34" s="21"/>
      <c r="D34" s="35">
        <f>290.63-E34</f>
        <v>258.88</v>
      </c>
      <c r="E34" s="33">
        <v>31.75</v>
      </c>
      <c r="F34" s="34" t="s">
        <v>71</v>
      </c>
    </row>
    <row r="35" spans="1:7" ht="23.25" thickBot="1">
      <c r="A35" s="2"/>
      <c r="B35" s="21"/>
      <c r="C35" s="22"/>
      <c r="D35" s="25">
        <v>368</v>
      </c>
      <c r="E35" s="23"/>
      <c r="F35" s="18" t="s">
        <v>64</v>
      </c>
      <c r="G35" s="31"/>
    </row>
    <row r="36" spans="1:7" ht="15.75" thickBot="1">
      <c r="A36" s="2"/>
      <c r="B36" s="21"/>
      <c r="C36" s="2"/>
      <c r="D36" s="20">
        <v>431</v>
      </c>
      <c r="E36" s="23"/>
      <c r="F36" s="18" t="s">
        <v>68</v>
      </c>
      <c r="G36" s="18"/>
    </row>
    <row r="37" spans="1:7" ht="15.75" thickBot="1">
      <c r="A37" s="2"/>
      <c r="B37" s="21"/>
      <c r="C37" s="2"/>
      <c r="D37" s="20"/>
      <c r="E37" s="23">
        <v>72</v>
      </c>
      <c r="F37" s="18" t="s">
        <v>43</v>
      </c>
    </row>
    <row r="38" spans="1:7" ht="45.75" thickBot="1">
      <c r="A38" s="10"/>
      <c r="B38" s="11" t="s">
        <v>8</v>
      </c>
      <c r="C38" s="12"/>
      <c r="D38" s="17">
        <f>SUM(D4:D37)</f>
        <v>7624.5499999999993</v>
      </c>
      <c r="E38" s="32">
        <f>SUM(E4:E37)</f>
        <v>852.75</v>
      </c>
      <c r="F38" s="19">
        <f>SUM(D38:E38)</f>
        <v>8477.2999999999993</v>
      </c>
    </row>
    <row r="39" spans="1:7" ht="15.75" thickBot="1">
      <c r="A39" s="2"/>
      <c r="B39" s="13" t="s">
        <v>7</v>
      </c>
      <c r="C39" s="2"/>
      <c r="D39" s="14">
        <f>D38*40.38</f>
        <v>307879.32899999997</v>
      </c>
      <c r="E39" s="15">
        <f>E38*42.84</f>
        <v>36531.810000000005</v>
      </c>
      <c r="F39" s="16">
        <f>D39+E39</f>
        <v>344411.13899999997</v>
      </c>
      <c r="G39" s="5"/>
    </row>
    <row r="40" spans="1:7">
      <c r="A40" s="5"/>
      <c r="B40" s="6"/>
      <c r="C40" s="7"/>
      <c r="D40" s="8"/>
      <c r="E40" s="8"/>
      <c r="F40" s="9"/>
      <c r="G40" s="5"/>
    </row>
    <row r="41" spans="1:7">
      <c r="A41" s="4" t="s">
        <v>10</v>
      </c>
    </row>
    <row r="43" spans="1:7">
      <c r="A43" s="3" t="s">
        <v>9</v>
      </c>
    </row>
    <row r="45" spans="1:7">
      <c r="A45" t="s">
        <v>6</v>
      </c>
    </row>
  </sheetData>
  <mergeCells count="1">
    <mergeCell ref="A1:F1"/>
  </mergeCells>
  <phoneticPr fontId="8" type="noConversion"/>
  <printOptions horizontalCentered="1" verticalCentered="1"/>
  <pageMargins left="0.31496062992125984" right="0.31496062992125984" top="0.35433070866141736" bottom="0.74803149606299213" header="0.31496062992125984" footer="0.31496062992125984"/>
  <pageSetup paperSize="9" orientation="portrait" r:id="rId1"/>
  <headerFooter>
    <oddHeader>&amp;R&amp;G</oddHeader>
    <oddFooter>&amp;C&amp;D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Perrenoud, Dylan</dc:creator>
  <cp:lastModifiedBy>Zumwald, Jérémie</cp:lastModifiedBy>
  <cp:lastPrinted>2022-11-01T11:00:33Z</cp:lastPrinted>
  <dcterms:created xsi:type="dcterms:W3CDTF">2021-01-02T10:15:23Z</dcterms:created>
  <dcterms:modified xsi:type="dcterms:W3CDTF">2024-01-04T06:48:49Z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-525240001</vt:i4>
  </property>
  <property fmtid="{D5CDD505-2E9C-101B-9397-08002B2CF9AE}" pid="3" name="_NewReviewCycle">
    <vt:lpwstr/>
  </property>
  <property fmtid="{D5CDD505-2E9C-101B-9397-08002B2CF9AE}" pid="4" name="_EmailSubject">
    <vt:lpwstr>Invoice n°2298552</vt:lpwstr>
  </property>
  <property fmtid="{D5CDD505-2E9C-101B-9397-08002B2CF9AE}" pid="5" name="_AuthorEmail">
    <vt:lpwstr>debiteurs-ouest@ch.issworld.com</vt:lpwstr>
  </property>
  <property fmtid="{D5CDD505-2E9C-101B-9397-08002B2CF9AE}" pid="6" name="_AuthorEmailDisplayName">
    <vt:lpwstr>Debiteurs-ouest CH</vt:lpwstr>
  </property>
  <property fmtid="{D5CDD505-2E9C-101B-9397-08002B2CF9AE}" pid="7" name="_PreviousAdHocReviewCycleID">
    <vt:i4>1956612931</vt:i4>
  </property>
</Properties>
</file>