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02 Février\"/>
    </mc:Choice>
  </mc:AlternateContent>
  <xr:revisionPtr revIDLastSave="0" documentId="13_ncr:1_{8D998FF4-D7F4-4070-9144-62F50914BE95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2" i="1"/>
  <c r="D21" i="1"/>
  <c r="D15" i="1"/>
  <c r="D14" i="1"/>
  <c r="D11" i="1"/>
  <c r="D8" i="1"/>
  <c r="D7" i="1"/>
  <c r="E32" i="1" l="1"/>
  <c r="E33" i="1" s="1"/>
  <c r="D32" i="1" l="1"/>
  <c r="D33" i="1" s="1"/>
  <c r="F32" i="1" l="1"/>
  <c r="F33" i="1"/>
</calcChain>
</file>

<file path=xl/sharedStrings.xml><?xml version="1.0" encoding="utf-8"?>
<sst xmlns="http://schemas.openxmlformats.org/spreadsheetml/2006/main" count="52" uniqueCount="52">
  <si>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</si>
  <si>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</si>
  <si>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</si>
  <si>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</si>
  <si>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</si>
  <si>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</si>
  <si>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</si>
  <si>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</si>
  <si>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</si>
  <si>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</si>
  <si>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</si>
  <si>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Février 2023</t>
  </si>
  <si>
    <t>Total 27.02.2023</t>
  </si>
  <si>
    <t xml:space="preserve"> +10h00 Formation BLS Ishan, Guillaume, Aya, Albina et Tessa</t>
  </si>
  <si>
    <t>Total 01.02.2023</t>
  </si>
  <si>
    <t>Total 02.02.2023</t>
  </si>
  <si>
    <t>Total 03.02.2023</t>
  </si>
  <si>
    <t>Total 04.02.2023</t>
  </si>
  <si>
    <t>Total 05.02.2023</t>
  </si>
  <si>
    <t>Total 06.02.2023</t>
  </si>
  <si>
    <t>Total 07.02.2023</t>
  </si>
  <si>
    <t>Total 08.02.2023</t>
  </si>
  <si>
    <t>Total 09.02.2023</t>
  </si>
  <si>
    <t>Total 10.02.2023</t>
  </si>
  <si>
    <t>Total 11.02.2023</t>
  </si>
  <si>
    <t>Total 12.02.2023</t>
  </si>
  <si>
    <t>Total 13.02.2023</t>
  </si>
  <si>
    <t>Total 14.02.2023</t>
  </si>
  <si>
    <t>Total 15.02.2023</t>
  </si>
  <si>
    <t>Total 16.02.2023</t>
  </si>
  <si>
    <t>Total 17.02.2023</t>
  </si>
  <si>
    <t>Total 18.02.2023</t>
  </si>
  <si>
    <t>Total 19.02.2023</t>
  </si>
  <si>
    <t>Coordi Isabelle / Xheneta</t>
  </si>
  <si>
    <t>Coordi Isabelle / Laurie</t>
  </si>
  <si>
    <t>Coordi Lauren</t>
  </si>
  <si>
    <t>Coordi Lauren / Laurie / Xheneta</t>
  </si>
  <si>
    <t xml:space="preserve"> Coordi Guillaume / Tessa</t>
  </si>
  <si>
    <t>Coordi Guillaume / Aya</t>
  </si>
  <si>
    <t>Coordi Naomé (9h55) / Xheneta</t>
  </si>
  <si>
    <t>Coordi Laurie / Lauren / Tessa</t>
  </si>
  <si>
    <t>Coordi Lauren / Tessa</t>
  </si>
  <si>
    <t>Coordi Lauren / Aya</t>
  </si>
  <si>
    <t>Total 20.02.2023</t>
  </si>
  <si>
    <t>Total 21.02.2023</t>
  </si>
  <si>
    <t>Total 22.02.2023</t>
  </si>
  <si>
    <t>Total 23.02.2023</t>
  </si>
  <si>
    <t>Total 24.02.2023</t>
  </si>
  <si>
    <t>Total 25.02.2023</t>
  </si>
  <si>
    <t>Total 26.02.2023</t>
  </si>
  <si>
    <t>Total 28.02.2023</t>
  </si>
  <si>
    <t>CoordI Aya / 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</si>
</sst>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39"/>
  <sheetViews>
    <sheetView tabSelected="1" topLeftCell="A16" zoomScale="130" zoomScaleNormal="130" workbookViewId="0">
      <selection activeCell="F13" sqref="F13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4" t="s">
        <v>11</v>
      </c>
      <c r="B1" s="24"/>
      <c r="C1" s="24"/>
      <c r="D1" s="24"/>
      <c r="E1" s="24"/>
      <c r="F1" s="24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14</v>
      </c>
      <c r="C4" s="22"/>
      <c r="D4" s="23">
        <v>96.5</v>
      </c>
      <c r="E4" s="23"/>
      <c r="F4" s="18"/>
    </row>
    <row r="5" spans="1:6" ht="15.75" thickBot="1">
      <c r="A5" s="2"/>
      <c r="B5" s="21" t="s">
        <v>15</v>
      </c>
      <c r="C5" s="22"/>
      <c r="D5" s="23">
        <v>96.5</v>
      </c>
      <c r="E5" s="23"/>
      <c r="F5" s="18"/>
    </row>
    <row r="6" spans="1:6" ht="15.75" thickBot="1">
      <c r="A6" s="2"/>
      <c r="B6" s="21" t="s">
        <v>16</v>
      </c>
      <c r="C6" s="22"/>
      <c r="D6" s="23">
        <v>131.50000000000003</v>
      </c>
      <c r="E6" s="23"/>
      <c r="F6" s="18"/>
    </row>
    <row r="7" spans="1:6" ht="15.75" thickBot="1">
      <c r="A7" s="2"/>
      <c r="B7" s="21" t="s">
        <v>17</v>
      </c>
      <c r="C7" s="22"/>
      <c r="D7" s="23">
        <f>243.25-E7</f>
        <v>227</v>
      </c>
      <c r="E7" s="23">
        <v>16.25</v>
      </c>
      <c r="F7" s="18" t="s">
        <v>33</v>
      </c>
    </row>
    <row r="8" spans="1:6" ht="15.75" thickBot="1">
      <c r="A8" s="2"/>
      <c r="B8" s="21" t="s">
        <v>18</v>
      </c>
      <c r="C8" s="22"/>
      <c r="D8" s="23">
        <f>205.25-E8</f>
        <v>189</v>
      </c>
      <c r="E8" s="23">
        <v>16.25</v>
      </c>
      <c r="F8" s="18" t="s">
        <v>34</v>
      </c>
    </row>
    <row r="9" spans="1:6" ht="15.75" thickBot="1">
      <c r="A9" s="2"/>
      <c r="B9" s="21" t="s">
        <v>19</v>
      </c>
      <c r="C9" s="22"/>
      <c r="D9" s="23">
        <v>114.5</v>
      </c>
      <c r="E9" s="23"/>
      <c r="F9" s="18"/>
    </row>
    <row r="10" spans="1:6" ht="15.75" thickBot="1">
      <c r="A10" s="2"/>
      <c r="B10" s="21" t="s">
        <v>20</v>
      </c>
      <c r="C10" s="22"/>
      <c r="D10" s="23">
        <v>108</v>
      </c>
      <c r="E10" s="23"/>
      <c r="F10" s="18"/>
    </row>
    <row r="11" spans="1:6" ht="15.75" thickBot="1">
      <c r="A11" s="2"/>
      <c r="B11" s="21" t="s">
        <v>21</v>
      </c>
      <c r="C11" s="22"/>
      <c r="D11" s="23">
        <f>101-E11</f>
        <v>98</v>
      </c>
      <c r="E11" s="23">
        <v>3</v>
      </c>
      <c r="F11" s="18" t="s">
        <v>35</v>
      </c>
    </row>
    <row r="12" spans="1:6" ht="15.75" thickBot="1">
      <c r="A12" s="2"/>
      <c r="B12" s="21" t="s">
        <v>22</v>
      </c>
      <c r="C12" s="22"/>
      <c r="D12" s="23">
        <v>102.00000000000001</v>
      </c>
      <c r="E12" s="23">
        <v>6</v>
      </c>
      <c r="F12" s="18" t="s">
        <v>36</v>
      </c>
    </row>
    <row r="13" spans="1:6" ht="15.75" thickBot="1">
      <c r="A13" s="2"/>
      <c r="B13" s="21" t="s">
        <v>23</v>
      </c>
      <c r="C13" s="22"/>
      <c r="D13" s="23">
        <v>127.50000000000003</v>
      </c>
      <c r="E13" s="23"/>
      <c r="F13" s="18"/>
    </row>
    <row r="14" spans="1:6" ht="15.75" thickBot="1">
      <c r="A14" s="2"/>
      <c r="B14" s="21" t="s">
        <v>24</v>
      </c>
      <c r="C14" s="22"/>
      <c r="D14" s="23">
        <f>243.38-E14</f>
        <v>227.13</v>
      </c>
      <c r="E14" s="23">
        <v>16.25</v>
      </c>
      <c r="F14" s="18" t="s">
        <v>37</v>
      </c>
    </row>
    <row r="15" spans="1:6" ht="15.75" thickBot="1">
      <c r="A15" s="2"/>
      <c r="B15" s="21" t="s">
        <v>25</v>
      </c>
      <c r="C15" s="22"/>
      <c r="D15" s="23">
        <f>207.75-E15</f>
        <v>191.5</v>
      </c>
      <c r="E15" s="23">
        <v>16.25</v>
      </c>
      <c r="F15" s="18" t="s">
        <v>38</v>
      </c>
    </row>
    <row r="16" spans="1:6" ht="15.75" thickBot="1">
      <c r="A16" s="2"/>
      <c r="B16" s="21" t="s">
        <v>26</v>
      </c>
      <c r="C16" s="22"/>
      <c r="D16" s="23">
        <v>114.5</v>
      </c>
      <c r="E16" s="23"/>
      <c r="F16" s="18"/>
    </row>
    <row r="17" spans="1:6" ht="15.75" thickBot="1">
      <c r="A17" s="2"/>
      <c r="B17" s="21" t="s">
        <v>27</v>
      </c>
      <c r="C17" s="22"/>
      <c r="D17" s="23">
        <v>107.77999999999999</v>
      </c>
      <c r="E17" s="23"/>
      <c r="F17" s="18"/>
    </row>
    <row r="18" spans="1:6" ht="15.75" thickBot="1">
      <c r="A18" s="2"/>
      <c r="B18" s="21" t="s">
        <v>28</v>
      </c>
      <c r="C18" s="22"/>
      <c r="D18" s="23">
        <v>106</v>
      </c>
      <c r="E18" s="23"/>
      <c r="F18" s="18"/>
    </row>
    <row r="19" spans="1:6" ht="15.75" thickBot="1">
      <c r="A19" s="2"/>
      <c r="B19" s="21" t="s">
        <v>29</v>
      </c>
      <c r="C19" s="22"/>
      <c r="D19" s="23">
        <v>109.50000000000001</v>
      </c>
      <c r="E19" s="23"/>
      <c r="F19" s="18"/>
    </row>
    <row r="20" spans="1:6" ht="15.75" thickBot="1">
      <c r="A20" s="2"/>
      <c r="B20" s="21" t="s">
        <v>30</v>
      </c>
      <c r="C20" s="22"/>
      <c r="D20" s="23">
        <v>127</v>
      </c>
      <c r="E20" s="23">
        <v>6</v>
      </c>
      <c r="F20" s="18" t="s">
        <v>40</v>
      </c>
    </row>
    <row r="21" spans="1:6" ht="15.75" thickBot="1">
      <c r="A21" s="2"/>
      <c r="B21" s="21" t="s">
        <v>31</v>
      </c>
      <c r="C21" s="22"/>
      <c r="D21" s="23">
        <f>236.21-E21</f>
        <v>218.29000000000002</v>
      </c>
      <c r="E21" s="23">
        <v>17.920000000000002</v>
      </c>
      <c r="F21" s="18" t="s">
        <v>39</v>
      </c>
    </row>
    <row r="22" spans="1:6" ht="15.75" thickBot="1">
      <c r="A22" s="2"/>
      <c r="B22" s="21" t="s">
        <v>32</v>
      </c>
      <c r="C22" s="22"/>
      <c r="D22" s="23">
        <f>194.75-E22</f>
        <v>178.5</v>
      </c>
      <c r="E22" s="23">
        <v>16.25</v>
      </c>
      <c r="F22" s="18" t="s">
        <v>51</v>
      </c>
    </row>
    <row r="23" spans="1:6" ht="15.75" thickBot="1">
      <c r="A23" s="2"/>
      <c r="B23" s="21" t="s">
        <v>43</v>
      </c>
      <c r="C23" s="22"/>
      <c r="D23" s="23">
        <v>114.50000000000001</v>
      </c>
      <c r="E23" s="23"/>
      <c r="F23" s="18"/>
    </row>
    <row r="24" spans="1:6" ht="15.75" thickBot="1">
      <c r="A24" s="2"/>
      <c r="B24" s="21" t="s">
        <v>44</v>
      </c>
      <c r="C24" s="22"/>
      <c r="D24" s="23">
        <v>108.00000000000001</v>
      </c>
      <c r="E24" s="23"/>
      <c r="F24" s="18"/>
    </row>
    <row r="25" spans="1:6" ht="15.75" thickBot="1">
      <c r="A25" s="2"/>
      <c r="B25" s="21" t="s">
        <v>45</v>
      </c>
      <c r="C25" s="2"/>
      <c r="D25" s="20">
        <v>98.350000000000009</v>
      </c>
      <c r="E25" s="23"/>
      <c r="F25" s="18"/>
    </row>
    <row r="26" spans="1:6" ht="15.75" customHeight="1" thickBot="1">
      <c r="A26" s="2"/>
      <c r="B26" s="21" t="s">
        <v>46</v>
      </c>
      <c r="C26" s="2"/>
      <c r="D26" s="20">
        <v>96</v>
      </c>
      <c r="E26" s="23"/>
      <c r="F26" s="18"/>
    </row>
    <row r="27" spans="1:6" ht="15.75" thickBot="1">
      <c r="A27" s="2"/>
      <c r="B27" s="21" t="s">
        <v>47</v>
      </c>
      <c r="C27" s="2"/>
      <c r="D27" s="20">
        <v>118.00000000000001</v>
      </c>
      <c r="E27" s="23"/>
      <c r="F27" s="18"/>
    </row>
    <row r="28" spans="1:6" ht="15.75" thickBot="1">
      <c r="A28" s="2"/>
      <c r="B28" s="21" t="s">
        <v>48</v>
      </c>
      <c r="C28" s="2"/>
      <c r="D28" s="20">
        <f>247.5-E28</f>
        <v>231.25</v>
      </c>
      <c r="E28" s="23">
        <v>16.25</v>
      </c>
      <c r="F28" s="18" t="s">
        <v>41</v>
      </c>
    </row>
    <row r="29" spans="1:6" ht="15.75" thickBot="1">
      <c r="A29" s="2"/>
      <c r="B29" s="21" t="s">
        <v>49</v>
      </c>
      <c r="C29" s="2"/>
      <c r="D29" s="20">
        <f>182.25-E29</f>
        <v>166</v>
      </c>
      <c r="E29" s="23">
        <v>16.25</v>
      </c>
      <c r="F29" s="18" t="s">
        <v>42</v>
      </c>
    </row>
    <row r="30" spans="1:6" ht="23.25" thickBot="1">
      <c r="A30" s="2"/>
      <c r="B30" s="21" t="s">
        <v>12</v>
      </c>
      <c r="C30" s="2"/>
      <c r="D30" s="20">
        <v>118.5</v>
      </c>
      <c r="E30" s="23"/>
      <c r="F30" s="18" t="s">
        <v>13</v>
      </c>
    </row>
    <row r="31" spans="1:6" ht="15.75" thickBot="1">
      <c r="A31" s="2"/>
      <c r="B31" s="21" t="s">
        <v>50</v>
      </c>
      <c r="C31" s="2"/>
      <c r="D31" s="20">
        <v>106.5</v>
      </c>
      <c r="E31" s="23"/>
      <c r="F31" s="18"/>
    </row>
    <row r="32" spans="1:6" ht="45.75" thickBot="1">
      <c r="A32" s="10"/>
      <c r="B32" s="11" t="s">
        <v>8</v>
      </c>
      <c r="C32" s="12"/>
      <c r="D32" s="17">
        <f>SUM(D4:D31)</f>
        <v>3827.8</v>
      </c>
      <c r="E32" s="12">
        <f>SUM(E4:E31)</f>
        <v>146.67000000000002</v>
      </c>
      <c r="F32" s="19">
        <f>SUM(D32:E32)</f>
        <v>3974.4700000000003</v>
      </c>
    </row>
    <row r="33" spans="1:7" ht="15.75" thickBot="1">
      <c r="A33" s="2"/>
      <c r="B33" s="13" t="s">
        <v>7</v>
      </c>
      <c r="C33" s="2"/>
      <c r="D33" s="14">
        <f>D32*40.38</f>
        <v>154566.56400000001</v>
      </c>
      <c r="E33" s="15">
        <f>E32*42.84</f>
        <v>6283.3428000000013</v>
      </c>
      <c r="F33" s="16">
        <f>D33+E33</f>
        <v>160849.90680000003</v>
      </c>
      <c r="G33" s="5"/>
    </row>
    <row r="34" spans="1:7">
      <c r="A34" s="5"/>
      <c r="B34" s="6"/>
      <c r="C34" s="7"/>
      <c r="D34" s="8"/>
      <c r="E34" s="8"/>
      <c r="F34" s="9"/>
      <c r="G34" s="5"/>
    </row>
    <row r="35" spans="1:7">
      <c r="A35" s="4" t="s">
        <v>10</v>
      </c>
    </row>
    <row r="37" spans="1:7">
      <c r="A37" s="3" t="s">
        <v>9</v>
      </c>
    </row>
    <row r="39" spans="1:7">
      <c r="A39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Perrenoud, Dylan</cp:lastModifiedBy>
  <cp:lastPrinted>2022-11-01T11:00:33Z</cp:lastPrinted>
  <dcterms:created xsi:type="dcterms:W3CDTF">2021-01-02T10:15:23Z</dcterms:created>
  <dcterms:modified xsi:type="dcterms:W3CDTF">2023-03-01T11:19:06Z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-155908963</vt:i4>
  </property>
  <property fmtid="{D5CDD505-2E9C-101B-9397-08002B2CF9AE}" pid="3" name="_NewReviewCycle">
    <vt:lpwstr/>
  </property>
  <property fmtid="{D5CDD505-2E9C-101B-9397-08002B2CF9AE}" pid="4" name="_EmailSubject">
    <vt:lpwstr>F_2164353_0223 / Agent du Terminal Lot A</vt:lpwstr>
  </property>
  <property fmtid="{D5CDD505-2E9C-101B-9397-08002B2CF9AE}" pid="5" name="_AuthorEmail">
    <vt:lpwstr>Dylan.Perrenoud@ch.issworld.com</vt:lpwstr>
  </property>
  <property fmtid="{D5CDD505-2E9C-101B-9397-08002B2CF9AE}" pid="6" name="_AuthorEmailDisplayName">
    <vt:lpwstr>Perrenoud, Dylan</vt:lpwstr>
  </property>
</Properties>
</file>