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eneve_GKR\01_Mgmt\Facility\05.Clients\Lot A\Facturation Mensuel\2023\10 Octobre\"/>
    </mc:Choice>
  </mc:AlternateContent>
  <xr:revisionPtr revIDLastSave="0" documentId="13_ncr:1_{CF14819A-9A23-43F3-8C60-D03FFA66FA44}" xr6:coauthVersionLast="47" xr6:coauthVersionMax="47" xr10:uidLastSave="{00000000-0000-0000-0000-000000000000}"/>
  <bookViews>
    <workbookView xWindow="28680" yWindow="-120" windowWidth="29040" windowHeight="15840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2" i="1" l="1"/>
  <c r="D31" i="1"/>
  <c r="D29" i="1"/>
  <c r="D28" i="1"/>
  <c r="D26" i="1"/>
  <c r="D25" i="1"/>
  <c r="D24" i="1"/>
  <c r="D23" i="1"/>
  <c r="D22" i="1"/>
  <c r="D21" i="1"/>
  <c r="D20" i="1"/>
  <c r="D19" i="1"/>
  <c r="D17" i="1"/>
  <c r="D15" i="1"/>
  <c r="D14" i="1"/>
  <c r="D13" i="1"/>
  <c r="D12" i="1"/>
  <c r="D11" i="1"/>
  <c r="D10" i="1"/>
  <c r="D8" i="1"/>
  <c r="D7" i="1"/>
  <c r="D6" i="1"/>
  <c r="E36" i="1"/>
  <c r="E37" i="1" s="1"/>
  <c r="D36" i="1" l="1"/>
  <c r="D37" i="1" s="1"/>
  <c r="F37" i="1" s="1"/>
  <c r="F36" i="1" l="1"/>
</calcChain>
</file>

<file path=xl/sharedStrings.xml><?xml version="1.0" encoding="utf-8"?>
<sst xmlns="http://schemas.openxmlformats.org/spreadsheetml/2006/main" count="66" uniqueCount="63">
  <si>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</si>
  <si>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</si>
  <si>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</si>
  <si>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</si>
  <si>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</si>
  <si>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</si>
  <si>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</si>
  <si>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</si>
  <si>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</si>
  <si>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coordinateurs : 42,84-chf</t>
  </si>
  <si>
    <t>Tarifs Horaires de base : 40,38-Chf</t>
  </si>
  <si>
    <t>Rapport des heures Agents du Terminal octobre 2023</t>
  </si>
  <si>
    <t>Total 01.10.2023</t>
  </si>
  <si>
    <t>Total 02.10.2023</t>
  </si>
  <si>
    <t>Total 03.10.2023</t>
  </si>
  <si>
    <t>Total 04.10.2023</t>
  </si>
  <si>
    <t>Total 05.10.2023</t>
  </si>
  <si>
    <t>Total 06.10.2023</t>
  </si>
  <si>
    <t>Total 07.10.2023</t>
  </si>
  <si>
    <t>Total 08.10.2023</t>
  </si>
  <si>
    <t>Total 09.10.2023</t>
  </si>
  <si>
    <t>Total 10.10.2023</t>
  </si>
  <si>
    <t>Total 11.10.2023</t>
  </si>
  <si>
    <t>Total 12.10.2023</t>
  </si>
  <si>
    <t>Total 13.10.2023</t>
  </si>
  <si>
    <t>Total 14.10.2023</t>
  </si>
  <si>
    <t>Total 15.10.2023</t>
  </si>
  <si>
    <t>Total 16.10.2023</t>
  </si>
  <si>
    <t>Total 17.10.2023</t>
  </si>
  <si>
    <t>Total 18.10.2023</t>
  </si>
  <si>
    <t>Total 19.10.2023</t>
  </si>
  <si>
    <t>Total 20.10.2023</t>
  </si>
  <si>
    <t>Total 21.10.2023</t>
  </si>
  <si>
    <t>Total 22.10.2023</t>
  </si>
  <si>
    <t>heures admin/MAGE/Séances</t>
  </si>
  <si>
    <t>Doublures Guillaume/Aya/Juan/Leila</t>
  </si>
  <si>
    <t>Coordi Aya/Tessa/Guilaume/Juan</t>
  </si>
  <si>
    <t>Coordi Aya/Tessa/Guilaume/Natacha</t>
  </si>
  <si>
    <t>Doublures Nat/Isa/Nao/Xheneta/Leila</t>
  </si>
  <si>
    <t>Doublures Nat/Aya/Juan/Tessa</t>
  </si>
  <si>
    <t>Doublures Guilaume/Isa/Tessa/Leila</t>
  </si>
  <si>
    <t>Doublure Ihsan/Naomé/Tessa</t>
  </si>
  <si>
    <t>Doublures Guillaume/Tessa</t>
  </si>
  <si>
    <t>Doublures Aya/Juan/Leila</t>
  </si>
  <si>
    <t>Doublures Guillaume/Naomé/Leila</t>
  </si>
  <si>
    <t>Doublure Isa</t>
  </si>
  <si>
    <t>Doublure Guillaume</t>
  </si>
  <si>
    <t>Doublure Xheneta</t>
  </si>
  <si>
    <t>Doublures Aya/Elie</t>
  </si>
  <si>
    <t>Doublure Elie</t>
  </si>
  <si>
    <t>Doublures Ihsan/Isabelle</t>
  </si>
  <si>
    <t>Formateur Pifre</t>
  </si>
  <si>
    <t>Total 23.10.2023</t>
  </si>
  <si>
    <t>Total 24.10.2023</t>
  </si>
  <si>
    <t>Total 25.10.2023</t>
  </si>
  <si>
    <t>Total 26.10.2023</t>
  </si>
  <si>
    <t>Total 27.10.2023</t>
  </si>
  <si>
    <t>Total 28.10.2023</t>
  </si>
  <si>
    <t>Total 29.10.2023</t>
  </si>
  <si>
    <t>Doublure Ihsan Coordi Nao/Aya</t>
  </si>
  <si>
    <t>Coordi Isabelle/Aya</t>
  </si>
  <si>
    <t>Total 30.10.2023</t>
  </si>
  <si>
    <t>Total 31.10.2023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</si>
</sst>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166" fontId="10" fillId="0" borderId="0" xfId="0" applyNumberFormat="1" applyFont="1" applyBorder="1" applyAlignment="1">
      <alignment horizontal="righ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3"/>
  <sheetViews>
    <sheetView tabSelected="1" topLeftCell="A15" zoomScale="130" zoomScaleNormal="130" workbookViewId="0">
      <selection activeCell="B33" sqref="B33:D34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31" t="s">
        <v>11</v>
      </c>
      <c r="B1" s="31"/>
      <c r="C1" s="31"/>
      <c r="D1" s="31"/>
      <c r="E1" s="31"/>
      <c r="F1" s="31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1" t="s">
        <v>12</v>
      </c>
      <c r="C4" s="22"/>
      <c r="D4" s="23">
        <v>98</v>
      </c>
      <c r="E4" s="23"/>
      <c r="F4" s="18"/>
    </row>
    <row r="5" spans="1:6" ht="15.75" thickBot="1">
      <c r="A5" s="2"/>
      <c r="B5" s="21" t="s">
        <v>13</v>
      </c>
      <c r="C5" s="22"/>
      <c r="D5" s="23">
        <v>115</v>
      </c>
      <c r="E5" s="23"/>
      <c r="F5" s="18"/>
    </row>
    <row r="6" spans="1:6" ht="15.75" thickBot="1">
      <c r="A6" s="2"/>
      <c r="B6" s="21" t="s">
        <v>14</v>
      </c>
      <c r="C6" s="22"/>
      <c r="D6" s="23">
        <f>104.5-E6</f>
        <v>95.5</v>
      </c>
      <c r="E6" s="23">
        <v>9</v>
      </c>
      <c r="F6" s="18" t="s">
        <v>51</v>
      </c>
    </row>
    <row r="7" spans="1:6" ht="15.75" thickBot="1">
      <c r="A7" s="2"/>
      <c r="B7" s="21" t="s">
        <v>15</v>
      </c>
      <c r="C7" s="22"/>
      <c r="D7" s="23">
        <f>115.55-E7</f>
        <v>106.55</v>
      </c>
      <c r="E7" s="23">
        <v>9</v>
      </c>
      <c r="F7" s="18" t="s">
        <v>51</v>
      </c>
    </row>
    <row r="8" spans="1:6" ht="15.75" thickBot="1">
      <c r="A8" s="2"/>
      <c r="B8" s="21" t="s">
        <v>16</v>
      </c>
      <c r="C8" s="22"/>
      <c r="D8" s="23">
        <f>116.84-E8</f>
        <v>107.84</v>
      </c>
      <c r="E8" s="23">
        <v>9</v>
      </c>
      <c r="F8" s="18" t="s">
        <v>51</v>
      </c>
    </row>
    <row r="9" spans="1:6" ht="15.75" thickBot="1">
      <c r="A9" s="2"/>
      <c r="B9" s="21" t="s">
        <v>17</v>
      </c>
      <c r="C9" s="22"/>
      <c r="D9" s="23">
        <v>94.48</v>
      </c>
      <c r="E9" s="23"/>
      <c r="F9" s="18"/>
    </row>
    <row r="10" spans="1:6" ht="15.75" thickBot="1">
      <c r="A10" s="2"/>
      <c r="B10" s="21" t="s">
        <v>18</v>
      </c>
      <c r="C10" s="22"/>
      <c r="D10" s="23">
        <f>319-E10</f>
        <v>292</v>
      </c>
      <c r="E10" s="23">
        <v>27</v>
      </c>
      <c r="F10" s="18" t="s">
        <v>37</v>
      </c>
    </row>
    <row r="11" spans="1:6" ht="15.75" thickBot="1">
      <c r="A11" s="2"/>
      <c r="B11" s="21" t="s">
        <v>19</v>
      </c>
      <c r="C11" s="22"/>
      <c r="D11" s="23">
        <f>339.5-E11</f>
        <v>312.5</v>
      </c>
      <c r="E11" s="23">
        <v>27</v>
      </c>
      <c r="F11" s="18" t="s">
        <v>36</v>
      </c>
    </row>
    <row r="12" spans="1:6" ht="15.75" thickBot="1">
      <c r="A12" s="2"/>
      <c r="B12" s="21" t="s">
        <v>20</v>
      </c>
      <c r="C12" s="22"/>
      <c r="D12" s="23">
        <f>167.85-E12</f>
        <v>137.85</v>
      </c>
      <c r="E12" s="23">
        <v>30</v>
      </c>
      <c r="F12" s="18" t="s">
        <v>35</v>
      </c>
    </row>
    <row r="13" spans="1:6" ht="15.75" thickBot="1">
      <c r="A13" s="2"/>
      <c r="B13" s="21" t="s">
        <v>21</v>
      </c>
      <c r="C13" s="22"/>
      <c r="D13" s="23">
        <f>167-E13</f>
        <v>130.5</v>
      </c>
      <c r="E13" s="23">
        <v>36.5</v>
      </c>
      <c r="F13" s="18" t="s">
        <v>38</v>
      </c>
    </row>
    <row r="14" spans="1:6" ht="15.75" thickBot="1">
      <c r="A14" s="2"/>
      <c r="B14" s="21" t="s">
        <v>22</v>
      </c>
      <c r="C14" s="22"/>
      <c r="D14" s="23">
        <f>157.4-E14</f>
        <v>128.4</v>
      </c>
      <c r="E14" s="23">
        <v>29</v>
      </c>
      <c r="F14" s="18" t="s">
        <v>39</v>
      </c>
    </row>
    <row r="15" spans="1:6" ht="15.75" thickBot="1">
      <c r="A15" s="2"/>
      <c r="B15" s="21" t="s">
        <v>23</v>
      </c>
      <c r="C15" s="22"/>
      <c r="D15" s="23">
        <f>139.5-E15</f>
        <v>111.5</v>
      </c>
      <c r="E15" s="23">
        <v>28</v>
      </c>
      <c r="F15" s="18" t="s">
        <v>40</v>
      </c>
    </row>
    <row r="16" spans="1:6" ht="15.75" thickBot="1">
      <c r="A16" s="2"/>
      <c r="B16" s="21" t="s">
        <v>24</v>
      </c>
      <c r="C16" s="22"/>
      <c r="D16" s="23">
        <v>165.99999999999997</v>
      </c>
      <c r="E16" s="23">
        <v>20.5</v>
      </c>
      <c r="F16" s="18" t="s">
        <v>41</v>
      </c>
    </row>
    <row r="17" spans="1:6" ht="15.75" thickBot="1">
      <c r="A17" s="2"/>
      <c r="B17" s="26" t="s">
        <v>25</v>
      </c>
      <c r="C17" s="27"/>
      <c r="D17" s="28">
        <f>134.9-E17</f>
        <v>121.9</v>
      </c>
      <c r="E17" s="28">
        <v>13</v>
      </c>
      <c r="F17" s="29" t="s">
        <v>42</v>
      </c>
    </row>
    <row r="18" spans="1:6" ht="15.75" thickBot="1">
      <c r="A18" s="2"/>
      <c r="B18" s="26" t="s">
        <v>26</v>
      </c>
      <c r="C18" s="27"/>
      <c r="D18" s="28">
        <v>118.60000000000002</v>
      </c>
      <c r="E18" s="28"/>
      <c r="F18" s="29"/>
    </row>
    <row r="19" spans="1:6" ht="15.75" thickBot="1">
      <c r="A19" s="2"/>
      <c r="B19" s="26" t="s">
        <v>27</v>
      </c>
      <c r="C19" s="27"/>
      <c r="D19" s="28">
        <f>153-E19</f>
        <v>132.5</v>
      </c>
      <c r="E19" s="28">
        <v>20.5</v>
      </c>
      <c r="F19" s="29" t="s">
        <v>43</v>
      </c>
    </row>
    <row r="20" spans="1:6" ht="15.75" thickBot="1">
      <c r="A20" s="2"/>
      <c r="B20" s="26" t="s">
        <v>28</v>
      </c>
      <c r="C20" s="27"/>
      <c r="D20" s="28">
        <f>153.5-E20</f>
        <v>133</v>
      </c>
      <c r="E20" s="28">
        <v>20.5</v>
      </c>
      <c r="F20" s="29" t="s">
        <v>44</v>
      </c>
    </row>
    <row r="21" spans="1:6" ht="15.75" thickBot="1">
      <c r="A21" s="30"/>
      <c r="B21" s="26" t="s">
        <v>29</v>
      </c>
      <c r="C21" s="27"/>
      <c r="D21" s="28">
        <f>134.5-E21</f>
        <v>127</v>
      </c>
      <c r="E21" s="28">
        <v>7.5</v>
      </c>
      <c r="F21" s="29" t="s">
        <v>47</v>
      </c>
    </row>
    <row r="22" spans="1:6" ht="15.75" thickBot="1">
      <c r="A22" s="2"/>
      <c r="B22" s="26" t="s">
        <v>30</v>
      </c>
      <c r="C22" s="27"/>
      <c r="D22" s="28">
        <f>142.1-E22</f>
        <v>121.6</v>
      </c>
      <c r="E22" s="28">
        <v>20.5</v>
      </c>
      <c r="F22" s="29"/>
    </row>
    <row r="23" spans="1:6" ht="15.75" thickBot="1">
      <c r="A23" s="2"/>
      <c r="B23" s="26" t="s">
        <v>31</v>
      </c>
      <c r="C23" s="27"/>
      <c r="D23" s="28">
        <f>140.5-E23</f>
        <v>133</v>
      </c>
      <c r="E23" s="28">
        <v>7.5</v>
      </c>
      <c r="F23" s="29" t="s">
        <v>46</v>
      </c>
    </row>
    <row r="24" spans="1:6" ht="15.75" thickBot="1">
      <c r="A24" s="2"/>
      <c r="B24" s="21" t="s">
        <v>32</v>
      </c>
      <c r="C24" s="22"/>
      <c r="D24" s="23">
        <f>143.66-E24</f>
        <v>136.16</v>
      </c>
      <c r="E24" s="23">
        <v>7.5</v>
      </c>
      <c r="F24" s="18" t="s">
        <v>45</v>
      </c>
    </row>
    <row r="25" spans="1:6" ht="15.75" thickBot="1">
      <c r="A25" s="2"/>
      <c r="B25" s="21" t="s">
        <v>33</v>
      </c>
      <c r="C25" s="22"/>
      <c r="D25" s="23">
        <f>173.5-E25</f>
        <v>159.5</v>
      </c>
      <c r="E25" s="23">
        <v>14</v>
      </c>
      <c r="F25" s="18" t="s">
        <v>48</v>
      </c>
    </row>
    <row r="26" spans="1:6" ht="15.75" thickBot="1">
      <c r="A26" s="2"/>
      <c r="B26" s="21" t="s">
        <v>52</v>
      </c>
      <c r="C26" s="22"/>
      <c r="D26" s="23">
        <f>124.5-E26</f>
        <v>117</v>
      </c>
      <c r="E26" s="23">
        <v>7.5</v>
      </c>
      <c r="F26" s="18" t="s">
        <v>49</v>
      </c>
    </row>
    <row r="27" spans="1:6" ht="15.75" thickBot="1">
      <c r="A27" s="2"/>
      <c r="B27" s="21" t="s">
        <v>53</v>
      </c>
      <c r="C27" s="22"/>
      <c r="D27" s="23">
        <v>110.5</v>
      </c>
      <c r="E27" s="23"/>
      <c r="F27" s="18"/>
    </row>
    <row r="28" spans="1:6" ht="15.75" thickBot="1">
      <c r="A28" s="2"/>
      <c r="B28" s="21" t="s">
        <v>54</v>
      </c>
      <c r="C28" s="22"/>
      <c r="D28" s="23">
        <f>134-E28</f>
        <v>120</v>
      </c>
      <c r="E28" s="23">
        <v>14</v>
      </c>
      <c r="F28" s="18" t="s">
        <v>50</v>
      </c>
    </row>
    <row r="29" spans="1:6" ht="15.75" thickBot="1">
      <c r="A29" s="2"/>
      <c r="B29" s="21" t="s">
        <v>55</v>
      </c>
      <c r="C29" s="22"/>
      <c r="D29" s="23">
        <f>120-E29</f>
        <v>112.5</v>
      </c>
      <c r="E29" s="23">
        <v>7.5</v>
      </c>
      <c r="F29" s="18" t="s">
        <v>47</v>
      </c>
    </row>
    <row r="30" spans="1:6" ht="15.75" customHeight="1" thickBot="1">
      <c r="A30" s="2"/>
      <c r="B30" s="21" t="s">
        <v>56</v>
      </c>
      <c r="C30" s="22"/>
      <c r="D30" s="23">
        <v>115.50000000000001</v>
      </c>
      <c r="E30" s="23"/>
      <c r="F30" s="18"/>
    </row>
    <row r="31" spans="1:6" ht="15.75" thickBot="1">
      <c r="A31" s="2"/>
      <c r="B31" s="21" t="s">
        <v>57</v>
      </c>
      <c r="C31" s="22"/>
      <c r="D31" s="24">
        <f>128.75-E31</f>
        <v>114.25</v>
      </c>
      <c r="E31" s="23">
        <v>14.5</v>
      </c>
      <c r="F31" s="18" t="s">
        <v>59</v>
      </c>
    </row>
    <row r="32" spans="1:6" ht="15.75" thickBot="1">
      <c r="A32" s="2"/>
      <c r="B32" s="21" t="s">
        <v>58</v>
      </c>
      <c r="C32" s="22"/>
      <c r="D32" s="23">
        <f>120.16-E32</f>
        <v>113.16</v>
      </c>
      <c r="E32" s="23">
        <v>7</v>
      </c>
      <c r="F32" s="18" t="s">
        <v>60</v>
      </c>
    </row>
    <row r="33" spans="1:7" ht="15.75" thickBot="1">
      <c r="A33" s="2"/>
      <c r="B33" s="21" t="s">
        <v>61</v>
      </c>
      <c r="C33" s="22"/>
      <c r="D33" s="25">
        <v>96.500000000000014</v>
      </c>
      <c r="E33" s="23"/>
      <c r="F33" s="18"/>
    </row>
    <row r="34" spans="1:7" ht="15.75" thickBot="1">
      <c r="A34" s="2"/>
      <c r="B34" s="21" t="s">
        <v>62</v>
      </c>
      <c r="C34" s="2"/>
      <c r="D34" s="20">
        <v>98.500000000000014</v>
      </c>
      <c r="E34" s="23"/>
      <c r="F34" s="18"/>
    </row>
    <row r="35" spans="1:7" ht="15.75" thickBot="1">
      <c r="A35" s="2"/>
      <c r="B35" s="21"/>
      <c r="C35" s="2"/>
      <c r="D35" s="20"/>
      <c r="E35" s="23">
        <v>49.5</v>
      </c>
      <c r="F35" s="18" t="s">
        <v>34</v>
      </c>
    </row>
    <row r="36" spans="1:7" ht="45.75" thickBot="1">
      <c r="A36" s="10"/>
      <c r="B36" s="11" t="s">
        <v>8</v>
      </c>
      <c r="C36" s="12"/>
      <c r="D36" s="17">
        <f>SUM(D4:D35)</f>
        <v>4077.2899999999995</v>
      </c>
      <c r="E36" s="12">
        <f>SUM(E4:E35)</f>
        <v>436</v>
      </c>
      <c r="F36" s="19">
        <f>SUM(D36:E36)</f>
        <v>4513.2899999999991</v>
      </c>
    </row>
    <row r="37" spans="1:7" ht="15.75" thickBot="1">
      <c r="A37" s="2"/>
      <c r="B37" s="13" t="s">
        <v>7</v>
      </c>
      <c r="C37" s="2"/>
      <c r="D37" s="14">
        <f>D36*40.38</f>
        <v>164640.97019999998</v>
      </c>
      <c r="E37" s="15">
        <f>E36*42.84</f>
        <v>18678.240000000002</v>
      </c>
      <c r="F37" s="16">
        <f>D37+E37</f>
        <v>183319.21019999997</v>
      </c>
      <c r="G37" s="5"/>
    </row>
    <row r="38" spans="1:7">
      <c r="A38" s="5"/>
      <c r="B38" s="6"/>
      <c r="C38" s="7"/>
      <c r="D38" s="8"/>
      <c r="E38" s="8"/>
      <c r="F38" s="9"/>
      <c r="G38" s="5"/>
    </row>
    <row r="39" spans="1:7">
      <c r="A39" s="4" t="s">
        <v>10</v>
      </c>
    </row>
    <row r="41" spans="1:7">
      <c r="A41" s="3" t="s">
        <v>9</v>
      </c>
    </row>
    <row r="43" spans="1:7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2023-11-01T07:55:44Z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-2004368110</vt:i4>
  </property>
  <property fmtid="{D5CDD505-2E9C-101B-9397-08002B2CF9AE}" pid="3" name="_NewReviewCycle">
    <vt:lpwstr/>
  </property>
  <property fmtid="{D5CDD505-2E9C-101B-9397-08002B2CF9AE}" pid="4" name="_EmailSubject">
    <vt:lpwstr>Facture - F2271808</vt:lpwstr>
  </property>
  <property fmtid="{D5CDD505-2E9C-101B-9397-08002B2CF9AE}" pid="5" name="_AuthorEmail">
    <vt:lpwstr>debiteurs-ouest@ch.issworld.com</vt:lpwstr>
  </property>
  <property fmtid="{D5CDD505-2E9C-101B-9397-08002B2CF9AE}" pid="6" name="_AuthorEmailDisplayName">
    <vt:lpwstr>Debiteurs-ouest CH</vt:lpwstr>
  </property>
  <property fmtid="{D5CDD505-2E9C-101B-9397-08002B2CF9AE}" pid="7" name="_PreviousAdHocReviewCycleID">
    <vt:i4>-1268398015</vt:i4>
  </property>
</Properties>
</file>