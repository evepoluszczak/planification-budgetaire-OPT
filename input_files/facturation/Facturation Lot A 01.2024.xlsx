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01_Mgmt\AOS_à trier\Facility\05.Clients\Lot A\Facturation\2024\01 Janvier\"/>
    </mc:Choice>
  </mc:AlternateContent>
  <xr:revisionPtr revIDLastSave="0" documentId="13_ncr:1_{F08A7B25-E97C-4EC7-80CF-A91542C6EE86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D4" i="1"/>
  <c r="E38" i="1" l="1"/>
  <c r="E39" i="1" l="1"/>
  <c r="D38" i="1" l="1"/>
  <c r="F38" i="1" s="1"/>
  <c r="D39" i="1" l="1"/>
  <c r="F39" i="1" s="1"/>
</calcChain>
</file>

<file path=xl/sharedStrings.xml><?xml version="1.0" encoding="utf-8"?>
<sst xmlns="http://schemas.openxmlformats.org/spreadsheetml/2006/main" count="74" uniqueCount="72">
  <si>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</si>
  <si>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</si>
  <si>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</si>
  <si>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</si>
  <si>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</si>
  <si>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</si>
  <si>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</si>
  <si>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</si>
  <si>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</si>
  <si>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</si>
  <si>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</si>
  <si>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janvier 2024</t>
  </si>
  <si>
    <t>Arc Elie/Leila</t>
  </si>
  <si>
    <t xml:space="preserve">Arc Fiona/Jihan </t>
  </si>
  <si>
    <t>Total 01.01.2024</t>
  </si>
  <si>
    <t>Total 02.01.2024</t>
  </si>
  <si>
    <t>Total 03.01.2024</t>
  </si>
  <si>
    <t>Total 04.01.2024</t>
  </si>
  <si>
    <t>Total 05.01.2024</t>
  </si>
  <si>
    <t>Total 06.01.2024</t>
  </si>
  <si>
    <t>Total 07.01.2024</t>
  </si>
  <si>
    <t>Total 08.01.2024</t>
  </si>
  <si>
    <t>Total 09.01.2024</t>
  </si>
  <si>
    <t>Total 10.01.2024</t>
  </si>
  <si>
    <t>Total 11.01.2024</t>
  </si>
  <si>
    <t>Total 12.01.2024</t>
  </si>
  <si>
    <t>Total 13.01.2024</t>
  </si>
  <si>
    <t>Total 14.01.2024</t>
  </si>
  <si>
    <t>Total 15.01.2024</t>
  </si>
  <si>
    <t>Total 16.01.2024</t>
  </si>
  <si>
    <t>Total 17.01.2024</t>
  </si>
  <si>
    <t>Total 18.01.2024</t>
  </si>
  <si>
    <t>Total 19.01.2024</t>
  </si>
  <si>
    <t>Total 20.01.2024</t>
  </si>
  <si>
    <t>Total 21.01.2024</t>
  </si>
  <si>
    <t>Total 22.01.2024</t>
  </si>
  <si>
    <t>Total 23.01.2024</t>
  </si>
  <si>
    <t>Total 24.01.2024</t>
  </si>
  <si>
    <t>Total 25.01.2024</t>
  </si>
  <si>
    <t>Total 26.01.2024</t>
  </si>
  <si>
    <t>Total 27.01.2024</t>
  </si>
  <si>
    <t>Total 28.01.2024</t>
  </si>
  <si>
    <t>Arc Stéphane/Grégory</t>
  </si>
  <si>
    <t>Arc Xheneta/Fiona</t>
  </si>
  <si>
    <t>Arc Guillaume L./Jihan</t>
  </si>
  <si>
    <t>Arc Gregory/Fiona</t>
  </si>
  <si>
    <t>Arc Natacha/Leila</t>
  </si>
  <si>
    <t>Arc Guillaume/Jihan</t>
  </si>
  <si>
    <t>Arc Natacha/Jihan</t>
  </si>
  <si>
    <t>Arc Ihsan/Stéphane</t>
  </si>
  <si>
    <t>Arc Juan/Stéphane</t>
  </si>
  <si>
    <t>Arc Albina/Nicolas</t>
  </si>
  <si>
    <t>Arc Albina/Jihan</t>
  </si>
  <si>
    <t>Arc Albina/Gregory</t>
  </si>
  <si>
    <t>Arc Xheneta/Guillaume</t>
  </si>
  <si>
    <t>Arc Stéphane/Grégory +Coordi Ishan/Naomé</t>
  </si>
  <si>
    <t>Arc Gregory/ Guillaume L. + Coordi Ihsan + Formateur Xheneta</t>
  </si>
  <si>
    <t>Arc Guillaume L./Ihsan + Formateur Nicolas</t>
  </si>
  <si>
    <t>Arc Stéphane/Grégory + Coordi Albina</t>
  </si>
  <si>
    <t>Arc Stéphane/Grégory + Coordi Ihsan/Natacha</t>
  </si>
  <si>
    <t>Total 29.01.2024</t>
  </si>
  <si>
    <t>Total 30.01.2024</t>
  </si>
  <si>
    <t>Total 31.01.2024</t>
  </si>
  <si>
    <t>Arc Guillaume/Grégory</t>
  </si>
  <si>
    <t>Arc Gregory/Nicolas + Coordi Xheneta/Albina</t>
  </si>
  <si>
    <t>Arc Albina/Stéphane + Coordi Leila/Natacha</t>
  </si>
  <si>
    <t>Arc Albina/Stéphane + Coordi Leila/Eli</t>
  </si>
  <si>
    <t>Arc Albina/Jihan + Coordi Leila</t>
  </si>
  <si>
    <t>Arc Xheneta/Guillaume + Coordi Boimond/Montet</t>
  </si>
  <si>
    <t>Arc Xheneta/Guillaume + Coordi Boimond</t>
  </si>
  <si>
    <t>Arc Gregroy/Aya + Coordi Albina + Formateur Nicolas</t>
  </si>
  <si>
    <t>Arc Gregory/Nicolas + Coordi Aya/Albina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</si>
</sst>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  <font>
      <sz val="8"/>
      <color rgb="FF454545"/>
      <name val="Andale WT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right" vertical="top" wrapText="1"/>
    </xf>
    <xf numFmtId="2" fontId="11" fillId="0" borderId="3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5"/>
  <sheetViews>
    <sheetView tabSelected="1" topLeftCell="A21" zoomScale="130" zoomScaleNormal="130" workbookViewId="0">
      <selection activeCell="D35" sqref="D35"/>
    </sheetView>
  </sheetViews>
  <sheetFormatPr baseColWidth="10" defaultRowHeight="15"/>
  <cols>
    <col min="1" max="1" width="12.42578125" customWidth="1"/>
    <col min="2" max="2" width="15.28515625" customWidth="1"/>
    <col min="3" max="4" width="12.28515625" customWidth="1"/>
    <col min="5" max="5" width="11.7109375" customWidth="1"/>
    <col min="6" max="6" width="30.85546875" customWidth="1"/>
  </cols>
  <sheetData>
    <row r="1" spans="1:6">
      <c r="A1" s="35" t="s">
        <v>11</v>
      </c>
      <c r="B1" s="35"/>
      <c r="C1" s="35"/>
      <c r="D1" s="35"/>
      <c r="E1" s="35"/>
      <c r="F1" s="35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23.25" thickBot="1">
      <c r="A4" s="2"/>
      <c r="B4" s="21" t="s">
        <v>14</v>
      </c>
      <c r="C4" s="22"/>
      <c r="D4" s="23">
        <f>209-E4</f>
        <v>175.5</v>
      </c>
      <c r="E4" s="28">
        <v>33.5</v>
      </c>
      <c r="F4" s="18" t="s">
        <v>56</v>
      </c>
    </row>
    <row r="5" spans="1:6" ht="15.75" thickBot="1">
      <c r="A5" s="2"/>
      <c r="B5" s="21" t="s">
        <v>15</v>
      </c>
      <c r="C5" s="22"/>
      <c r="D5" s="23">
        <f>191-E5</f>
        <v>175</v>
      </c>
      <c r="E5" s="28">
        <v>16</v>
      </c>
      <c r="F5" s="18" t="s">
        <v>12</v>
      </c>
    </row>
    <row r="6" spans="1:6" ht="15.75" thickBot="1">
      <c r="A6" s="2"/>
      <c r="B6" s="21" t="s">
        <v>16</v>
      </c>
      <c r="C6" s="22"/>
      <c r="D6" s="23">
        <f>188-E6</f>
        <v>172</v>
      </c>
      <c r="E6" s="28">
        <v>16</v>
      </c>
      <c r="F6" s="18" t="s">
        <v>13</v>
      </c>
    </row>
    <row r="7" spans="1:6" ht="15.75" thickBot="1">
      <c r="A7" s="2"/>
      <c r="B7" s="21" t="s">
        <v>17</v>
      </c>
      <c r="C7" s="22"/>
      <c r="D7" s="23">
        <f>227.92-E7</f>
        <v>211.92</v>
      </c>
      <c r="E7" s="28">
        <v>16</v>
      </c>
      <c r="F7" s="18" t="s">
        <v>13</v>
      </c>
    </row>
    <row r="8" spans="1:6" ht="15.75" thickBot="1">
      <c r="A8" s="2"/>
      <c r="B8" s="21" t="s">
        <v>18</v>
      </c>
      <c r="C8" s="22"/>
      <c r="D8" s="23">
        <f>262.5-E8</f>
        <v>246.5</v>
      </c>
      <c r="E8" s="28">
        <v>16</v>
      </c>
      <c r="F8" s="18" t="s">
        <v>42</v>
      </c>
    </row>
    <row r="9" spans="1:6" ht="23.25" thickBot="1">
      <c r="A9" s="2"/>
      <c r="B9" s="21" t="s">
        <v>19</v>
      </c>
      <c r="C9" s="22"/>
      <c r="D9" s="23">
        <f>320-E9</f>
        <v>287.5</v>
      </c>
      <c r="E9" s="28">
        <v>32.5</v>
      </c>
      <c r="F9" s="18" t="s">
        <v>55</v>
      </c>
    </row>
    <row r="10" spans="1:6" ht="23.25" thickBot="1">
      <c r="A10" s="2"/>
      <c r="B10" s="21" t="s">
        <v>20</v>
      </c>
      <c r="C10" s="22"/>
      <c r="D10" s="23">
        <f>306.5-E10</f>
        <v>274</v>
      </c>
      <c r="E10" s="28">
        <v>32.5</v>
      </c>
      <c r="F10" s="18" t="s">
        <v>59</v>
      </c>
    </row>
    <row r="11" spans="1:6" ht="15.75" thickBot="1">
      <c r="A11" s="2"/>
      <c r="B11" s="21" t="s">
        <v>21</v>
      </c>
      <c r="C11" s="22"/>
      <c r="D11" s="23">
        <v>211.94999999999996</v>
      </c>
      <c r="E11" s="28">
        <v>24.5</v>
      </c>
      <c r="F11" s="18" t="s">
        <v>58</v>
      </c>
    </row>
    <row r="12" spans="1:6" ht="15.75" thickBot="1">
      <c r="A12" s="2"/>
      <c r="B12" s="21" t="s">
        <v>22</v>
      </c>
      <c r="C12" s="22"/>
      <c r="D12" s="23">
        <f>190.7-E12</f>
        <v>174.7</v>
      </c>
      <c r="E12" s="28">
        <v>16</v>
      </c>
      <c r="F12" s="18" t="s">
        <v>43</v>
      </c>
    </row>
    <row r="13" spans="1:6" ht="15.75" thickBot="1">
      <c r="A13" s="2"/>
      <c r="B13" s="21" t="s">
        <v>23</v>
      </c>
      <c r="C13" s="22"/>
      <c r="D13" s="23">
        <f>200-E13</f>
        <v>184</v>
      </c>
      <c r="E13" s="28">
        <v>16</v>
      </c>
      <c r="F13" s="18" t="s">
        <v>44</v>
      </c>
    </row>
    <row r="14" spans="1:6" ht="23.25" thickBot="1">
      <c r="A14" s="2"/>
      <c r="B14" s="21" t="s">
        <v>24</v>
      </c>
      <c r="C14" s="22"/>
      <c r="D14" s="23">
        <f>209.72-E14</f>
        <v>187.72</v>
      </c>
      <c r="E14" s="28">
        <v>22</v>
      </c>
      <c r="F14" s="18" t="s">
        <v>57</v>
      </c>
    </row>
    <row r="15" spans="1:6" ht="23.25" thickBot="1">
      <c r="A15" s="2"/>
      <c r="B15" s="21" t="s">
        <v>25</v>
      </c>
      <c r="C15" s="22"/>
      <c r="D15" s="23">
        <f>233-E15</f>
        <v>203</v>
      </c>
      <c r="E15" s="28">
        <v>30</v>
      </c>
      <c r="F15" s="18" t="s">
        <v>70</v>
      </c>
    </row>
    <row r="16" spans="1:6" ht="15.75" thickBot="1">
      <c r="A16" s="2"/>
      <c r="B16" s="21" t="s">
        <v>26</v>
      </c>
      <c r="C16" s="22"/>
      <c r="D16" s="23">
        <f>327.75-E16</f>
        <v>295.25</v>
      </c>
      <c r="E16" s="28">
        <v>32.5</v>
      </c>
      <c r="F16" s="18" t="s">
        <v>71</v>
      </c>
    </row>
    <row r="17" spans="1:6" ht="23.25" thickBot="1">
      <c r="A17" s="2"/>
      <c r="B17" s="26" t="s">
        <v>27</v>
      </c>
      <c r="C17" s="27"/>
      <c r="D17" s="28">
        <f>316.25-E17</f>
        <v>283.75</v>
      </c>
      <c r="E17" s="28">
        <v>32.5</v>
      </c>
      <c r="F17" s="18" t="s">
        <v>64</v>
      </c>
    </row>
    <row r="18" spans="1:6" ht="15.75" thickBot="1">
      <c r="A18" s="2"/>
      <c r="B18" s="26" t="s">
        <v>28</v>
      </c>
      <c r="C18" s="27"/>
      <c r="D18" s="23">
        <f>207.45-E18</f>
        <v>191.45</v>
      </c>
      <c r="E18" s="28">
        <v>16</v>
      </c>
      <c r="F18" s="29" t="s">
        <v>45</v>
      </c>
    </row>
    <row r="19" spans="1:6" ht="15.75" thickBot="1">
      <c r="A19" s="2"/>
      <c r="B19" s="26" t="s">
        <v>29</v>
      </c>
      <c r="C19" s="27"/>
      <c r="D19" s="28">
        <f>195.25-E19</f>
        <v>179.25</v>
      </c>
      <c r="E19" s="28">
        <v>16</v>
      </c>
      <c r="F19" s="29" t="s">
        <v>46</v>
      </c>
    </row>
    <row r="20" spans="1:6" ht="15.75" thickBot="1">
      <c r="A20" s="2"/>
      <c r="B20" s="26" t="s">
        <v>30</v>
      </c>
      <c r="C20" s="27"/>
      <c r="D20" s="23">
        <f>183.75-E20</f>
        <v>167.75</v>
      </c>
      <c r="E20" s="28">
        <v>16</v>
      </c>
      <c r="F20" s="29" t="s">
        <v>47</v>
      </c>
    </row>
    <row r="21" spans="1:6" ht="15.75" thickBot="1">
      <c r="A21" s="30"/>
      <c r="B21" s="26" t="s">
        <v>31</v>
      </c>
      <c r="C21" s="27"/>
      <c r="D21" s="28">
        <f>185.5-E21</f>
        <v>169.5</v>
      </c>
      <c r="E21" s="28">
        <v>16</v>
      </c>
      <c r="F21" s="29" t="s">
        <v>48</v>
      </c>
    </row>
    <row r="22" spans="1:6" ht="15.75" thickBot="1">
      <c r="A22" s="2"/>
      <c r="B22" s="26" t="s">
        <v>32</v>
      </c>
      <c r="C22" s="27"/>
      <c r="D22" s="23">
        <f>202-E22</f>
        <v>186</v>
      </c>
      <c r="E22" s="28">
        <v>16</v>
      </c>
      <c r="F22" s="29" t="s">
        <v>49</v>
      </c>
    </row>
    <row r="23" spans="1:6" ht="23.25" thickBot="1">
      <c r="A23" s="2"/>
      <c r="B23" s="26" t="s">
        <v>33</v>
      </c>
      <c r="C23" s="27"/>
      <c r="D23" s="28">
        <f>306.42-E23</f>
        <v>273.92</v>
      </c>
      <c r="E23" s="28">
        <v>32.5</v>
      </c>
      <c r="F23" s="29" t="s">
        <v>65</v>
      </c>
    </row>
    <row r="24" spans="1:6" ht="15.75" thickBot="1">
      <c r="A24" s="2"/>
      <c r="B24" s="21" t="s">
        <v>34</v>
      </c>
      <c r="C24" s="22"/>
      <c r="D24" s="23">
        <f>314.35-E24</f>
        <v>281.85000000000002</v>
      </c>
      <c r="E24" s="28">
        <v>32.5</v>
      </c>
      <c r="F24" s="18" t="s">
        <v>66</v>
      </c>
    </row>
    <row r="25" spans="1:6" ht="15.75" thickBot="1">
      <c r="A25" s="2"/>
      <c r="B25" s="21" t="s">
        <v>35</v>
      </c>
      <c r="C25" s="22"/>
      <c r="D25" s="23">
        <f>205.16-E25</f>
        <v>189.16</v>
      </c>
      <c r="E25" s="28">
        <v>16</v>
      </c>
      <c r="F25" s="18" t="s">
        <v>50</v>
      </c>
    </row>
    <row r="26" spans="1:6" ht="15.75" thickBot="1">
      <c r="A26" s="2"/>
      <c r="B26" s="21" t="s">
        <v>36</v>
      </c>
      <c r="C26" s="22"/>
      <c r="D26" s="23">
        <f>199-E26</f>
        <v>183</v>
      </c>
      <c r="E26" s="28">
        <v>16</v>
      </c>
      <c r="F26" s="18" t="s">
        <v>51</v>
      </c>
    </row>
    <row r="27" spans="1:6" ht="15.75" thickBot="1">
      <c r="A27" s="2"/>
      <c r="B27" s="21" t="s">
        <v>37</v>
      </c>
      <c r="C27" s="22"/>
      <c r="D27" s="23">
        <f>196.05-E27</f>
        <v>177.05</v>
      </c>
      <c r="E27" s="28">
        <v>19</v>
      </c>
      <c r="F27" s="18" t="s">
        <v>67</v>
      </c>
    </row>
    <row r="28" spans="1:6" ht="15.75" thickBot="1">
      <c r="A28" s="2"/>
      <c r="B28" s="21" t="s">
        <v>38</v>
      </c>
      <c r="C28" s="22"/>
      <c r="D28" s="23">
        <f>192.5-E28</f>
        <v>176.5</v>
      </c>
      <c r="E28" s="28">
        <v>16</v>
      </c>
      <c r="F28" s="18" t="s">
        <v>53</v>
      </c>
    </row>
    <row r="29" spans="1:6" ht="15.75" thickBot="1">
      <c r="A29" s="2"/>
      <c r="B29" s="21" t="s">
        <v>39</v>
      </c>
      <c r="C29" s="22"/>
      <c r="D29" s="23">
        <f>212-E29</f>
        <v>196</v>
      </c>
      <c r="E29" s="28">
        <v>16</v>
      </c>
      <c r="F29" s="18" t="s">
        <v>54</v>
      </c>
    </row>
    <row r="30" spans="1:6" ht="25.5" customHeight="1" thickBot="1">
      <c r="A30" s="2"/>
      <c r="B30" s="21" t="s">
        <v>40</v>
      </c>
      <c r="C30" s="22"/>
      <c r="D30" s="23">
        <f>323-E30</f>
        <v>290.5</v>
      </c>
      <c r="E30" s="28">
        <v>32.5</v>
      </c>
      <c r="F30" s="18" t="s">
        <v>68</v>
      </c>
    </row>
    <row r="31" spans="1:6" ht="15.75" thickBot="1">
      <c r="A31" s="2"/>
      <c r="B31" s="21" t="s">
        <v>41</v>
      </c>
      <c r="C31" s="22"/>
      <c r="D31" s="24">
        <f>313.35-E31</f>
        <v>289.35000000000002</v>
      </c>
      <c r="E31" s="28">
        <v>24</v>
      </c>
      <c r="F31" s="18" t="s">
        <v>69</v>
      </c>
    </row>
    <row r="32" spans="1:6" ht="15.75" thickBot="1">
      <c r="A32" s="2"/>
      <c r="B32" s="21" t="s">
        <v>60</v>
      </c>
      <c r="C32" s="22"/>
      <c r="D32" s="23">
        <f>208-E32</f>
        <v>192</v>
      </c>
      <c r="E32" s="28">
        <v>16</v>
      </c>
      <c r="F32" s="18" t="s">
        <v>63</v>
      </c>
    </row>
    <row r="33" spans="1:7" ht="15.75" thickBot="1">
      <c r="A33" s="2"/>
      <c r="B33" s="21" t="s">
        <v>61</v>
      </c>
      <c r="C33" s="22"/>
      <c r="D33" s="25">
        <f>194-E33</f>
        <v>178</v>
      </c>
      <c r="E33" s="28">
        <v>16</v>
      </c>
      <c r="F33" s="18" t="s">
        <v>52</v>
      </c>
    </row>
    <row r="34" spans="1:7" ht="15.75" thickBot="1">
      <c r="B34" s="21" t="s">
        <v>62</v>
      </c>
      <c r="C34" s="21"/>
      <c r="D34" s="34">
        <f>194.58-E34</f>
        <v>178.58</v>
      </c>
      <c r="E34" s="28">
        <v>16</v>
      </c>
      <c r="F34" s="33" t="s">
        <v>52</v>
      </c>
    </row>
    <row r="35" spans="1:7" ht="15.75" thickBot="1">
      <c r="A35" s="2"/>
      <c r="B35" s="21"/>
      <c r="C35" s="22"/>
      <c r="D35" s="25"/>
      <c r="E35" s="23"/>
      <c r="F35" s="18"/>
      <c r="G35" s="31"/>
    </row>
    <row r="36" spans="1:7" ht="15.75" thickBot="1">
      <c r="A36" s="2"/>
      <c r="B36" s="21"/>
      <c r="C36" s="2"/>
      <c r="D36" s="20"/>
      <c r="E36" s="23"/>
      <c r="F36" s="18"/>
      <c r="G36" s="18"/>
    </row>
    <row r="37" spans="1:7" ht="15.75" thickBot="1">
      <c r="A37" s="2"/>
      <c r="B37" s="21"/>
      <c r="C37" s="2"/>
      <c r="D37" s="20"/>
      <c r="E37" s="23"/>
      <c r="F37" s="18"/>
    </row>
    <row r="38" spans="1:7" ht="45.75" thickBot="1">
      <c r="A38" s="10"/>
      <c r="B38" s="11" t="s">
        <v>8</v>
      </c>
      <c r="C38" s="12"/>
      <c r="D38" s="17">
        <f>SUM(D4:D37)</f>
        <v>6582.6500000000005</v>
      </c>
      <c r="E38" s="32">
        <f>SUM(E4:E37)</f>
        <v>668.5</v>
      </c>
      <c r="F38" s="19">
        <f>SUM(D38:E38)</f>
        <v>7251.1500000000005</v>
      </c>
    </row>
    <row r="39" spans="1:7" ht="15.75" thickBot="1">
      <c r="A39" s="2"/>
      <c r="B39" s="13" t="s">
        <v>7</v>
      </c>
      <c r="C39" s="2"/>
      <c r="D39" s="14">
        <f>D38*40.38</f>
        <v>265807.40700000006</v>
      </c>
      <c r="E39" s="15">
        <f>E38*42.84</f>
        <v>28638.54</v>
      </c>
      <c r="F39" s="16">
        <f>D39+E39</f>
        <v>294445.94700000004</v>
      </c>
      <c r="G39" s="5"/>
    </row>
    <row r="40" spans="1:7">
      <c r="A40" s="5"/>
      <c r="B40" s="6"/>
      <c r="C40" s="7"/>
      <c r="D40" s="8"/>
      <c r="E40" s="8"/>
      <c r="F40" s="9"/>
      <c r="G40" s="5"/>
    </row>
    <row r="41" spans="1:7">
      <c r="A41" s="4" t="s">
        <v>10</v>
      </c>
    </row>
    <row r="43" spans="1:7">
      <c r="A43" s="3" t="s">
        <v>9</v>
      </c>
    </row>
    <row r="45" spans="1:7">
      <c r="A45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2024-02-01T11:12:51Z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-2035629301</vt:i4>
  </property>
  <property fmtid="{D5CDD505-2E9C-101B-9397-08002B2CF9AE}" pid="3" name="_NewReviewCycle">
    <vt:lpwstr/>
  </property>
  <property fmtid="{D5CDD505-2E9C-101B-9397-08002B2CF9AE}" pid="4" name="_EmailSubject">
    <vt:lpwstr>Invoice n°2314967</vt:lpwstr>
  </property>
  <property fmtid="{D5CDD505-2E9C-101B-9397-08002B2CF9AE}" pid="5" name="_AuthorEmail">
    <vt:lpwstr>debiteurs-ouest@ch.issworld.com</vt:lpwstr>
  </property>
  <property fmtid="{D5CDD505-2E9C-101B-9397-08002B2CF9AE}" pid="6" name="_AuthorEmailDisplayName">
    <vt:lpwstr>Debiteurs-ouest CH</vt:lpwstr>
  </property>
  <property fmtid="{D5CDD505-2E9C-101B-9397-08002B2CF9AE}" pid="7" name="_PreviousAdHocReviewCycleID">
    <vt:i4>-624830080</vt:i4>
  </property>
</Properties>
</file>