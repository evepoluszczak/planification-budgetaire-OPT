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5\06 Juin\"/>
    </mc:Choice>
  </mc:AlternateContent>
  <xr:revisionPtr revIDLastSave="0" documentId="13_ncr:1_{26D84D28-4229-44CA-B2EA-6E05A1218C6C}" xr6:coauthVersionLast="47" xr6:coauthVersionMax="47" xr10:uidLastSave="{00000000-0000-0000-0000-000000000000}"/>
  <bookViews>
    <workbookView xWindow="-120" yWindow="-120" windowWidth="29040" windowHeight="15720" xr2:uid="{186A2E8D-9ABD-48A3-A0CB-9419D6C088A6}"/>
  </bookViews>
  <sheets>
    <sheet name="Fév." sheetId="1" r:id="rId1"/>
  </sheets>
  <definedNames>
    <definedName name="_xlnm.Print_Area" localSheetId="0">Fév.!$A$1:$F$45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8" i="1" l="1"/>
  <c r="D38" i="1" s="1"/>
  <c r="E39" i="1" l="1"/>
  <c r="F38" i="1"/>
  <c r="D39" i="1"/>
  <c r="F39" i="1" l="1"/>
</calcChain>
</file>

<file path=xl/sharedStrings.xml><?xml version="1.0" encoding="utf-8"?>
<sst xmlns="http://schemas.openxmlformats.org/spreadsheetml/2006/main" count="49" uniqueCount="49">
  <si>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</si>
  <si>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</si>
  <si>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</si>
  <si>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</si>
  <si>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</si>
  <si>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</si>
  <si>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</si>
  <si>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</si>
  <si>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</si>
  <si>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41,19-Chf</t>
  </si>
  <si>
    <t>Tarifs horaires coordinateurs : 43,69-chf</t>
  </si>
  <si>
    <t>Rapport des heures Agents du Terminal Juin 2025</t>
  </si>
  <si>
    <t>ATR: Kenny/Pamela/Leila/Stéphane Doublure: Guillaume B./Elie/Lauren/Mario/Diego/Xheneta/Sara</t>
  </si>
  <si>
    <t>ATR: Kenny/Pamela/Leila/Stéphane Doublure: Guillaume B./Alexandra/Lauren/Diego/Sara/Diana</t>
  </si>
  <si>
    <t>ATR: Théo/Achille/Kenny/Grégory Doublure: Guillaume B./Alexandra/Diego/Sara</t>
  </si>
  <si>
    <t>ATR: Théo/Achille/Stéphane/Grégory Doublure: Alexandra/Leila/Guillaume B./Sara</t>
  </si>
  <si>
    <t>ATR: Théo/Achille/Stéphane/Grégory Doublure: Alexandra/Leila/Elie</t>
  </si>
  <si>
    <t>ATR: Théo/Grégory/Sara/Stéphane Doublure: Alexandra/Diego</t>
  </si>
  <si>
    <t>ATR: Théo/Grégory/Achille/Stéphane Doublure: Diana/Leila/Elie/Sara</t>
  </si>
  <si>
    <t>ATR: Achille/Alexandra/Théo/Stéphane Doublure: Elie/Mario</t>
  </si>
  <si>
    <t>ATR: Leila/Alexandra/Sara/Mario</t>
  </si>
  <si>
    <t>ATR: Alexandra/Grégory/Sara/Leila</t>
  </si>
  <si>
    <t>ATR: Diana/Mario/Sara/Grégory</t>
  </si>
  <si>
    <t>ATR: Xheneta/Alexandra/Diego/Grégory Doublure: Ihsan</t>
  </si>
  <si>
    <t>ATR: Alexandra/Théo/Leila/Grégory Doublure: Ihsan</t>
  </si>
  <si>
    <t>ATR: Grégory/Achille/Sara/Mario</t>
  </si>
  <si>
    <t>ATR: Xheneta/Alexandra/Sara/Mario</t>
  </si>
  <si>
    <t>ATR: Leila/Diego/Diana/Alexandra</t>
  </si>
  <si>
    <t>ATR: Théo/Achille/Diana/Mario</t>
  </si>
  <si>
    <t>ATR: Mario/Achille/Diana/Ihsan</t>
  </si>
  <si>
    <t>ATR: Diego/Alexandra/Sara/Mario Doublure: Ihsan</t>
  </si>
  <si>
    <t>ATR: Mario/Sara/Alexandra/Elie</t>
  </si>
  <si>
    <t>ATR: Xheneta/Elie/Diana/Alexandra</t>
  </si>
  <si>
    <t>ATR: Xheneta/Elie/Diana/Mario</t>
  </si>
  <si>
    <t>ATR: Theo/Xheneta/Sara/Mario</t>
  </si>
  <si>
    <t>ATR: Mario/Sara/Diana/Achille</t>
  </si>
  <si>
    <t>ATR: Alexandra/Diego/Achille/Diana</t>
  </si>
  <si>
    <t>ATR: Théo/Alexandra/Sara/Achille</t>
  </si>
  <si>
    <t>ATR: Théo/Alexandra/Elie/Mario</t>
  </si>
  <si>
    <t>ATR:Elie/Mario/Xheneta/Ihsan</t>
  </si>
  <si>
    <t>ATR: Xheneta/Théo/Elie/Mario</t>
  </si>
  <si>
    <t>Total 24.06.2025</t>
  </si>
  <si>
    <t>Total 25.06.2025</t>
  </si>
  <si>
    <t>Total 26.06.2025</t>
  </si>
  <si>
    <t>Total 27.06.2025</t>
  </si>
  <si>
    <t>Total 28.06.2025</t>
  </si>
  <si>
    <t>Total 29.06.2025</t>
  </si>
  <si>
    <t>Total 30.06.2025</t>
  </si>
  <si>
    <t>ATR: Théo/Kenny/Mario/Diana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</si>
</sst>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  <font>
      <sz val="8"/>
      <color rgb="FF454545"/>
      <name val="Andale WT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0" fontId="4" fillId="0" borderId="3" xfId="0" applyFont="1" applyBorder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 vertical="top" wrapText="1"/>
    </xf>
    <xf numFmtId="2" fontId="11" fillId="0" borderId="3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5"/>
  <sheetViews>
    <sheetView tabSelected="1" topLeftCell="A21" zoomScale="130" zoomScaleNormal="130" workbookViewId="0">
      <selection activeCell="J17" sqref="J17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29" t="s">
        <v>11</v>
      </c>
      <c r="B1" s="29"/>
      <c r="C1" s="29"/>
      <c r="D1" s="29"/>
      <c r="E1" s="29"/>
      <c r="F1" s="29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34.5" thickBot="1">
      <c r="A4" s="2"/>
      <c r="B4" s="21">
        <v>45809</v>
      </c>
      <c r="C4" s="22"/>
      <c r="D4" s="23">
        <v>396</v>
      </c>
      <c r="E4" s="23">
        <v>86.5</v>
      </c>
      <c r="F4" s="18" t="s">
        <v>12</v>
      </c>
    </row>
    <row r="5" spans="1:6" ht="34.5" thickBot="1">
      <c r="A5" s="2"/>
      <c r="B5" s="21">
        <v>45810</v>
      </c>
      <c r="C5" s="22"/>
      <c r="D5" s="23">
        <v>351.25</v>
      </c>
      <c r="E5" s="23">
        <v>75.5</v>
      </c>
      <c r="F5" s="18" t="s">
        <v>13</v>
      </c>
    </row>
    <row r="6" spans="1:6" ht="34.5" thickBot="1">
      <c r="A6" s="2"/>
      <c r="B6" s="21">
        <v>45811</v>
      </c>
      <c r="C6" s="22"/>
      <c r="D6" s="23">
        <v>316.75</v>
      </c>
      <c r="E6" s="23">
        <v>60.5</v>
      </c>
      <c r="F6" s="18" t="s">
        <v>14</v>
      </c>
    </row>
    <row r="7" spans="1:6" ht="34.5" thickBot="1">
      <c r="A7" s="2"/>
      <c r="B7" s="21">
        <v>45812</v>
      </c>
      <c r="C7" s="22"/>
      <c r="D7" s="23">
        <v>272.75</v>
      </c>
      <c r="E7" s="23">
        <v>59.5</v>
      </c>
      <c r="F7" s="18" t="s">
        <v>15</v>
      </c>
    </row>
    <row r="8" spans="1:6" ht="23.25" thickBot="1">
      <c r="A8" s="2"/>
      <c r="B8" s="21">
        <v>45813</v>
      </c>
      <c r="C8" s="22"/>
      <c r="D8" s="23">
        <v>268.25</v>
      </c>
      <c r="E8" s="23">
        <v>52</v>
      </c>
      <c r="F8" s="18" t="s">
        <v>16</v>
      </c>
    </row>
    <row r="9" spans="1:6" ht="23.25" thickBot="1">
      <c r="A9" s="2"/>
      <c r="B9" s="21">
        <v>45814</v>
      </c>
      <c r="C9" s="22"/>
      <c r="D9" s="23">
        <v>286.25</v>
      </c>
      <c r="E9" s="23">
        <v>44.5</v>
      </c>
      <c r="F9" s="18" t="s">
        <v>17</v>
      </c>
    </row>
    <row r="10" spans="1:6" ht="23.25" thickBot="1">
      <c r="A10" s="2"/>
      <c r="B10" s="21">
        <v>45815</v>
      </c>
      <c r="C10" s="22"/>
      <c r="D10" s="23">
        <v>326.75</v>
      </c>
      <c r="E10" s="23">
        <v>59.5</v>
      </c>
      <c r="F10" s="18" t="s">
        <v>18</v>
      </c>
    </row>
    <row r="11" spans="1:6" ht="23.25" thickBot="1">
      <c r="A11" s="2"/>
      <c r="B11" s="21">
        <v>45816</v>
      </c>
      <c r="C11" s="22"/>
      <c r="D11" s="23">
        <v>277</v>
      </c>
      <c r="E11" s="23">
        <v>45.5</v>
      </c>
      <c r="F11" s="18" t="s">
        <v>19</v>
      </c>
    </row>
    <row r="12" spans="1:6" ht="15.75" thickBot="1">
      <c r="A12" s="2"/>
      <c r="B12" s="21">
        <v>45817</v>
      </c>
      <c r="C12" s="22"/>
      <c r="D12" s="23">
        <v>233.25</v>
      </c>
      <c r="E12" s="23">
        <v>30.5</v>
      </c>
      <c r="F12" s="18" t="s">
        <v>20</v>
      </c>
    </row>
    <row r="13" spans="1:6" ht="15.75" thickBot="1">
      <c r="A13" s="2"/>
      <c r="B13" s="21">
        <v>45818</v>
      </c>
      <c r="C13" s="22"/>
      <c r="D13" s="23">
        <v>235.25</v>
      </c>
      <c r="E13" s="23">
        <v>30.5</v>
      </c>
      <c r="F13" s="18" t="s">
        <v>21</v>
      </c>
    </row>
    <row r="14" spans="1:6" ht="15.75" thickBot="1">
      <c r="A14" s="2"/>
      <c r="B14" s="21">
        <v>45819</v>
      </c>
      <c r="C14" s="22"/>
      <c r="D14" s="23">
        <v>234.25</v>
      </c>
      <c r="E14" s="23">
        <v>30.5</v>
      </c>
      <c r="F14" s="18" t="s">
        <v>22</v>
      </c>
    </row>
    <row r="15" spans="1:6" ht="23.25" thickBot="1">
      <c r="A15" s="2"/>
      <c r="B15" s="21">
        <v>45820</v>
      </c>
      <c r="C15" s="22"/>
      <c r="D15" s="23">
        <v>237.25</v>
      </c>
      <c r="E15" s="23">
        <v>38</v>
      </c>
      <c r="F15" s="18" t="s">
        <v>24</v>
      </c>
    </row>
    <row r="16" spans="1:6" ht="23.25" thickBot="1">
      <c r="A16" s="2"/>
      <c r="B16" s="21">
        <v>45821</v>
      </c>
      <c r="C16" s="22"/>
      <c r="D16" s="23">
        <v>252.5</v>
      </c>
      <c r="E16" s="23">
        <v>37.5</v>
      </c>
      <c r="F16" s="18" t="s">
        <v>23</v>
      </c>
    </row>
    <row r="17" spans="1:6" ht="23.25" thickBot="1">
      <c r="A17" s="2"/>
      <c r="B17" s="21">
        <v>45822</v>
      </c>
      <c r="C17" s="22"/>
      <c r="D17" s="23">
        <v>247.5</v>
      </c>
      <c r="E17" s="23">
        <v>36.5</v>
      </c>
      <c r="F17" s="18" t="s">
        <v>30</v>
      </c>
    </row>
    <row r="18" spans="1:6" ht="15.75" thickBot="1">
      <c r="A18" s="2"/>
      <c r="B18" s="21">
        <v>45823</v>
      </c>
      <c r="C18" s="22"/>
      <c r="D18" s="23">
        <v>232.75</v>
      </c>
      <c r="E18" s="23">
        <v>30.5</v>
      </c>
      <c r="F18" s="18" t="s">
        <v>26</v>
      </c>
    </row>
    <row r="19" spans="1:6" ht="15.75" thickBot="1">
      <c r="A19" s="2"/>
      <c r="B19" s="21">
        <v>45824</v>
      </c>
      <c r="C19" s="22"/>
      <c r="D19" s="23">
        <v>228.25</v>
      </c>
      <c r="E19" s="23">
        <v>30.5</v>
      </c>
      <c r="F19" s="18" t="s">
        <v>27</v>
      </c>
    </row>
    <row r="20" spans="1:6" ht="15.75" thickBot="1">
      <c r="A20" s="2"/>
      <c r="B20" s="21">
        <v>45825</v>
      </c>
      <c r="C20" s="22"/>
      <c r="D20" s="23">
        <v>241.75</v>
      </c>
      <c r="E20" s="23">
        <v>30.5</v>
      </c>
      <c r="F20" s="18" t="s">
        <v>28</v>
      </c>
    </row>
    <row r="21" spans="1:6" ht="15.75" thickBot="1">
      <c r="A21" s="2"/>
      <c r="B21" s="21">
        <v>45826</v>
      </c>
      <c r="C21" s="22"/>
      <c r="D21" s="23">
        <v>226.75</v>
      </c>
      <c r="E21" s="23">
        <v>30.5</v>
      </c>
      <c r="F21" s="18" t="s">
        <v>29</v>
      </c>
    </row>
    <row r="22" spans="1:6" ht="15.75" thickBot="1">
      <c r="A22" s="2"/>
      <c r="B22" s="21">
        <v>45827</v>
      </c>
      <c r="C22" s="22"/>
      <c r="D22" s="23">
        <v>223.5</v>
      </c>
      <c r="E22" s="23">
        <v>30.5</v>
      </c>
      <c r="F22" s="18" t="s">
        <v>25</v>
      </c>
    </row>
    <row r="23" spans="1:6" ht="15.75" thickBot="1">
      <c r="A23" s="2"/>
      <c r="B23" s="21">
        <v>45828</v>
      </c>
      <c r="C23" s="22"/>
      <c r="D23" s="23">
        <v>230</v>
      </c>
      <c r="E23" s="23">
        <v>30.5</v>
      </c>
      <c r="F23" s="18" t="s">
        <v>31</v>
      </c>
    </row>
    <row r="24" spans="1:6" ht="15.75" thickBot="1">
      <c r="A24" s="2"/>
      <c r="B24" s="21">
        <v>45829</v>
      </c>
      <c r="C24" s="22"/>
      <c r="D24" s="23">
        <v>230.5</v>
      </c>
      <c r="E24" s="23">
        <v>30.5</v>
      </c>
      <c r="F24" s="18" t="s">
        <v>32</v>
      </c>
    </row>
    <row r="25" spans="1:6" ht="15.75" thickBot="1">
      <c r="A25" s="2"/>
      <c r="B25" s="21">
        <v>45830</v>
      </c>
      <c r="C25" s="22"/>
      <c r="D25" s="23">
        <v>224.75</v>
      </c>
      <c r="E25" s="23">
        <v>30.5</v>
      </c>
      <c r="F25" s="18" t="s">
        <v>33</v>
      </c>
    </row>
    <row r="26" spans="1:6" ht="15.75" thickBot="1">
      <c r="A26" s="2"/>
      <c r="B26" s="21">
        <v>45831</v>
      </c>
      <c r="C26" s="22"/>
      <c r="D26" s="23">
        <v>232</v>
      </c>
      <c r="E26" s="23">
        <v>31</v>
      </c>
      <c r="F26" s="18" t="s">
        <v>34</v>
      </c>
    </row>
    <row r="27" spans="1:6" ht="15.75" thickBot="1">
      <c r="A27" s="2"/>
      <c r="B27" s="21" t="s">
        <v>41</v>
      </c>
      <c r="C27" s="22"/>
      <c r="D27" s="23">
        <v>219.75</v>
      </c>
      <c r="E27" s="23">
        <v>30.5</v>
      </c>
      <c r="F27" s="18" t="s">
        <v>35</v>
      </c>
    </row>
    <row r="28" spans="1:6" ht="15.75" thickBot="1">
      <c r="A28" s="2"/>
      <c r="B28" s="21" t="s">
        <v>42</v>
      </c>
      <c r="C28" s="22"/>
      <c r="D28" s="23">
        <v>224.25000000000003</v>
      </c>
      <c r="E28" s="23">
        <v>30.5</v>
      </c>
      <c r="F28" s="18" t="s">
        <v>36</v>
      </c>
    </row>
    <row r="29" spans="1:6" ht="15.75" thickBot="1">
      <c r="A29" s="2"/>
      <c r="B29" s="21" t="s">
        <v>43</v>
      </c>
      <c r="C29" s="22"/>
      <c r="D29" s="23">
        <v>217.24999999999997</v>
      </c>
      <c r="E29" s="23">
        <v>30.5</v>
      </c>
      <c r="F29" s="18" t="s">
        <v>37</v>
      </c>
    </row>
    <row r="30" spans="1:6" ht="15.75" thickBot="1">
      <c r="A30" s="2"/>
      <c r="B30" s="21" t="s">
        <v>44</v>
      </c>
      <c r="C30" s="22"/>
      <c r="D30" s="23">
        <v>285</v>
      </c>
      <c r="E30" s="23">
        <v>31</v>
      </c>
      <c r="F30" s="18" t="s">
        <v>38</v>
      </c>
    </row>
    <row r="31" spans="1:6" ht="15.75" thickBot="1">
      <c r="A31" s="2"/>
      <c r="B31" s="21" t="s">
        <v>45</v>
      </c>
      <c r="C31" s="22"/>
      <c r="D31" s="24">
        <v>276.25</v>
      </c>
      <c r="E31" s="23">
        <v>31</v>
      </c>
      <c r="F31" s="18" t="s">
        <v>39</v>
      </c>
    </row>
    <row r="32" spans="1:6" ht="15.75" thickBot="1">
      <c r="A32" s="2"/>
      <c r="B32" s="21" t="s">
        <v>46</v>
      </c>
      <c r="C32" s="22"/>
      <c r="D32" s="23">
        <v>268.75000000000006</v>
      </c>
      <c r="E32" s="23">
        <v>30.75</v>
      </c>
      <c r="F32" s="18" t="s">
        <v>40</v>
      </c>
    </row>
    <row r="33" spans="1:7" ht="15.75" thickBot="1">
      <c r="A33" s="2"/>
      <c r="B33" s="21" t="s">
        <v>47</v>
      </c>
      <c r="C33" s="22"/>
      <c r="D33" s="20">
        <v>279.75000000000017</v>
      </c>
      <c r="E33" s="23">
        <v>31</v>
      </c>
      <c r="F33" s="18" t="s">
        <v>48</v>
      </c>
    </row>
    <row r="34" spans="1:7" ht="15.75" thickBot="1">
      <c r="B34" s="21"/>
      <c r="C34" s="21"/>
      <c r="D34" s="28"/>
      <c r="E34" s="23"/>
      <c r="F34" s="27"/>
    </row>
    <row r="35" spans="1:7" ht="15.75" thickBot="1">
      <c r="A35" s="2"/>
      <c r="B35" s="21"/>
      <c r="C35" s="22"/>
      <c r="D35" s="20"/>
      <c r="E35" s="23"/>
      <c r="F35" s="18"/>
      <c r="G35" s="25"/>
    </row>
    <row r="36" spans="1:7" ht="15.75" thickBot="1">
      <c r="A36" s="2"/>
      <c r="B36" s="21"/>
      <c r="C36" s="2"/>
      <c r="D36" s="20"/>
      <c r="E36" s="23"/>
      <c r="F36" s="18"/>
      <c r="G36" s="18"/>
    </row>
    <row r="37" spans="1:7" ht="15.75" thickBot="1">
      <c r="A37" s="2"/>
      <c r="B37" s="21"/>
      <c r="C37" s="2"/>
      <c r="D37" s="20"/>
      <c r="E37" s="23"/>
      <c r="F37" s="18"/>
    </row>
    <row r="38" spans="1:7" ht="45.75" thickBot="1">
      <c r="A38" s="10"/>
      <c r="B38" s="11" t="s">
        <v>8</v>
      </c>
      <c r="C38" s="12"/>
      <c r="D38" s="17">
        <f>SUM(D4:D37)-E38</f>
        <v>6599</v>
      </c>
      <c r="E38" s="26">
        <f>SUM(E4:E37)</f>
        <v>1177.25</v>
      </c>
      <c r="F38" s="19">
        <f>SUM(D38:E38)</f>
        <v>7776.25</v>
      </c>
    </row>
    <row r="39" spans="1:7" ht="15.75" thickBot="1">
      <c r="A39" s="2"/>
      <c r="B39" s="13" t="s">
        <v>7</v>
      </c>
      <c r="C39" s="2"/>
      <c r="D39" s="14">
        <f>D38*41.19</f>
        <v>271812.81</v>
      </c>
      <c r="E39" s="15">
        <f>E38*43.69</f>
        <v>51434.052499999998</v>
      </c>
      <c r="F39" s="16">
        <f>D39+E39</f>
        <v>323246.86249999999</v>
      </c>
      <c r="G39" s="5"/>
    </row>
    <row r="40" spans="1:7">
      <c r="A40" s="5"/>
      <c r="B40" s="6"/>
      <c r="C40" s="7"/>
      <c r="D40" s="8"/>
      <c r="E40" s="8"/>
      <c r="F40" s="9"/>
      <c r="G40" s="5"/>
    </row>
    <row r="41" spans="1:7">
      <c r="A41" s="4" t="s">
        <v>9</v>
      </c>
    </row>
    <row r="43" spans="1:7">
      <c r="A43" s="3" t="s">
        <v>10</v>
      </c>
    </row>
    <row r="45" spans="1:7">
      <c r="A45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Fév.</vt:lpstr>
      <vt:lpstr>Fév.!Zone_d_impression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2025-07-01T10:08:01Z</dcterms:modified>
</cp:coreProperties>
</file>