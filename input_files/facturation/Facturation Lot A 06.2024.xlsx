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6 Juin\"/>
    </mc:Choice>
  </mc:AlternateContent>
  <xr:revisionPtr revIDLastSave="0" documentId="13_ncr:1_{28B89D0A-1950-4DB3-9AF7-9321BEBE5CC3}" xr6:coauthVersionLast="47" xr6:coauthVersionMax="47" xr10:uidLastSave="{00000000-0000-0000-0000-000000000000}"/>
  <bookViews>
    <workbookView xWindow="-289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<sst xmlns="http://schemas.openxmlformats.org/spreadsheetml/2006/main" count="85" uniqueCount="83">
  <si>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</si>
  <si>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</si>
  <si>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</si>
  <si>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</si>
  <si>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</si>
  <si>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</si>
  <si>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</si>
  <si>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</si>
  <si>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</si>
  <si>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</si>
  <si>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</si>
  <si>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ATR Guillaume B/Kenny/Erton/Pamela</t>
  </si>
  <si>
    <t>ATR Heeral/Guillaume L./Daniela/ Gregory</t>
  </si>
  <si>
    <t>ATR Heeral/Guillaume L./Daniela/ Achille</t>
  </si>
  <si>
    <t>ATR Ihsan/Jihan/Théo/Pamela</t>
  </si>
  <si>
    <t>ATR Ihsan/Clara/Pamela/Diana</t>
  </si>
  <si>
    <t>Formateur Guillaume B.</t>
  </si>
  <si>
    <t>Formateur Amilcar/Pamela/Natacha</t>
  </si>
  <si>
    <t>Formateur Amilcar/Nat/Mario/Jihan/Heeral</t>
  </si>
  <si>
    <t>Rapport des heures Agents du Terminal juin 2024</t>
  </si>
  <si>
    <t>Formateur Amilcar/Heeral</t>
  </si>
  <si>
    <t>Formateur Amilcar</t>
  </si>
  <si>
    <t xml:space="preserve">ATR M.J./Mario/Jihan/Rita </t>
  </si>
  <si>
    <t>ATR M.J./Jihan/Mario/Rita</t>
  </si>
  <si>
    <t>ATR Mario/Théo/Diana/Sara</t>
  </si>
  <si>
    <t>ATR Gregory/Diégo/Sara/M.J./Kenny</t>
  </si>
  <si>
    <t>ARC Guillaume L./Kenny/Gregory/Diego/Achille</t>
  </si>
  <si>
    <t>ATR Guillaume L./ Clara/Nat/Kenny</t>
  </si>
  <si>
    <t>ATR Guillaume B./Kenny/Guillaume L./Sara</t>
  </si>
  <si>
    <t>ATR Alexandra/Guillaume L./M.J./Diego</t>
  </si>
  <si>
    <t>ATR Clara/Daniela/Diego/Mario</t>
  </si>
  <si>
    <t>ATR Gregory/Pamela/Diana/Guillaume L.</t>
  </si>
  <si>
    <t>ATR Théo/Guillaume L./Sara/Diana</t>
  </si>
  <si>
    <t>Formateur: Ihsan/Nat/Mario/Xheneta</t>
  </si>
  <si>
    <t>ATR Kenny/Alexandra/M.J./Marlène</t>
  </si>
  <si>
    <t>Formateur : Ihsan/Xheneta</t>
  </si>
  <si>
    <t>Formateur:Mario/Ihsan/Alexandra/Diego/Xheneta</t>
  </si>
  <si>
    <t>Formateur:Ihsan/Nat/Guillaume B./Lauren</t>
  </si>
  <si>
    <t>Formateur: Mario/Xheneta</t>
  </si>
  <si>
    <t>ATR Diana/Heeral/Marlène/Guillaume L.</t>
  </si>
  <si>
    <t>Formateur Mario/Amilcar</t>
  </si>
  <si>
    <t>ATR Nat/Jihan/Théo/Kenny</t>
  </si>
  <si>
    <t>Total 01.06.2024</t>
  </si>
  <si>
    <t>Total 02.06.2024</t>
  </si>
  <si>
    <t>Total 03.06.2024</t>
  </si>
  <si>
    <t>Total 04.06.2024</t>
  </si>
  <si>
    <t>Total 05.06.2024</t>
  </si>
  <si>
    <t>Total 06.06.2024</t>
  </si>
  <si>
    <t>Total 07.06.2024</t>
  </si>
  <si>
    <t>Total 08.06.2024</t>
  </si>
  <si>
    <t>Total 09.06.2024</t>
  </si>
  <si>
    <t>Total 10.06.2024</t>
  </si>
  <si>
    <t>Total 11.06.2024</t>
  </si>
  <si>
    <t>Total 12.06.2024</t>
  </si>
  <si>
    <t>Total 13.06.2024</t>
  </si>
  <si>
    <t>Total 14.06.2024</t>
  </si>
  <si>
    <t>ATR Guillaume B./Rita/Clara/Heeral/</t>
  </si>
  <si>
    <t>ATR Jihan/M.J./Marlène/Alexandra</t>
  </si>
  <si>
    <t>ATR Alexandra/Erton/Pam/Sara</t>
  </si>
  <si>
    <t>ATR Kenny/Guillaume L./Mario/Xheneta</t>
  </si>
  <si>
    <t>Total 15.06.2024</t>
  </si>
  <si>
    <t>Total 16.06.2024</t>
  </si>
  <si>
    <t>Total 17.06.2024</t>
  </si>
  <si>
    <t>Total 18.06.2024</t>
  </si>
  <si>
    <t>Total 19.06.2024</t>
  </si>
  <si>
    <t>Total 20.06.2024</t>
  </si>
  <si>
    <t>Total 21.06.2024</t>
  </si>
  <si>
    <t>Total 22.06.2024</t>
  </si>
  <si>
    <t>Total 23.06.2024</t>
  </si>
  <si>
    <t>ATR Erton/J.M./Xheneta/Théo</t>
  </si>
  <si>
    <t>ATR Kenny/Mario/Marlène/Sara</t>
  </si>
  <si>
    <t>Formateur Xheneta</t>
  </si>
  <si>
    <t>Total 24.06.2024</t>
  </si>
  <si>
    <t>Total 25.06.2024</t>
  </si>
  <si>
    <t>Total 26.06.2024</t>
  </si>
  <si>
    <t>ATR Alexandra/Erton/Lauren/M.J.</t>
  </si>
  <si>
    <t>ATR Diego/Mario/Pamela/Xheneta</t>
  </si>
  <si>
    <t>ATR Mario/Diégo/Pamela/Xheneta</t>
  </si>
  <si>
    <t>ATR Alexandra/Erton/M.J./Diégo</t>
  </si>
  <si>
    <t>Total 27.06.2024</t>
  </si>
  <si>
    <t>Total 28.06.2024</t>
  </si>
  <si>
    <t>Total 29.06.2024</t>
  </si>
  <si>
    <t>Total 30.06.2024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</si>
</sst>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top"/>
    </xf>
    <xf numFmtId="166" fontId="10" fillId="0" borderId="3" xfId="0" applyNumberFormat="1" applyFont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left" vertical="top"/>
    </xf>
    <xf numFmtId="166" fontId="10" fillId="0" borderId="0" xfId="0" applyNumberFormat="1" applyFont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4" fillId="0" borderId="6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zoomScale="130" zoomScaleNormal="130" workbookViewId="0">
      <selection activeCell="D28" sqref="D28"/>
    </sheetView>
  </sheetViews>
  <sheetFormatPr baseColWidth="10" defaultRowHeight="15"/>
  <cols>
    <col min="1" max="1" width="12.42578125" customWidth="1"/>
    <col min="2" max="2" width="15.28515625" customWidth="1"/>
    <col min="3" max="3" width="12.285156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34" t="s">
        <v>19</v>
      </c>
      <c r="B1" s="34"/>
      <c r="C1" s="34"/>
      <c r="D1" s="34"/>
      <c r="E1" s="34"/>
      <c r="F1" s="34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15.75" thickBot="1">
      <c r="A4" s="2"/>
      <c r="B4" s="28" t="s">
        <v>42</v>
      </c>
      <c r="C4" s="19"/>
      <c r="D4" s="20">
        <v>292.75</v>
      </c>
      <c r="E4" s="23">
        <v>62.5</v>
      </c>
      <c r="F4" s="17" t="s">
        <v>22</v>
      </c>
      <c r="G4" s="20" t="s">
        <v>37</v>
      </c>
      <c r="H4" s="20"/>
      <c r="I4" s="20"/>
    </row>
    <row r="5" spans="1:9" ht="15.75" thickBot="1">
      <c r="A5" s="2"/>
      <c r="B5" s="28" t="s">
        <v>43</v>
      </c>
      <c r="C5" s="19"/>
      <c r="D5" s="20">
        <v>232.20999999999998</v>
      </c>
      <c r="E5" s="23">
        <v>32</v>
      </c>
      <c r="F5" s="17" t="s">
        <v>23</v>
      </c>
      <c r="G5" s="20" t="s">
        <v>16</v>
      </c>
      <c r="H5" s="20"/>
      <c r="I5" s="20"/>
    </row>
    <row r="6" spans="1:9" ht="15.75" thickBot="1">
      <c r="A6" s="2"/>
      <c r="B6" s="28" t="s">
        <v>44</v>
      </c>
      <c r="C6" s="19"/>
      <c r="D6" s="20">
        <v>266</v>
      </c>
      <c r="E6" s="23">
        <v>63.5</v>
      </c>
      <c r="F6" s="17" t="s">
        <v>25</v>
      </c>
      <c r="G6" s="20" t="s">
        <v>17</v>
      </c>
      <c r="H6" s="20"/>
      <c r="I6" s="20"/>
    </row>
    <row r="7" spans="1:9" ht="15.75" thickBot="1">
      <c r="A7" s="2"/>
      <c r="B7" s="28" t="s">
        <v>45</v>
      </c>
      <c r="C7" s="19"/>
      <c r="D7" s="20">
        <v>280</v>
      </c>
      <c r="E7" s="23">
        <v>65.5</v>
      </c>
      <c r="F7" s="17" t="s">
        <v>31</v>
      </c>
      <c r="G7" s="20" t="s">
        <v>18</v>
      </c>
      <c r="H7" s="20"/>
      <c r="I7" s="20"/>
    </row>
    <row r="8" spans="1:9" ht="15.75" thickBot="1">
      <c r="A8" s="2"/>
      <c r="B8" s="28" t="s">
        <v>46</v>
      </c>
      <c r="C8" s="19"/>
      <c r="D8" s="20">
        <v>231.99999999999997</v>
      </c>
      <c r="E8" s="23">
        <v>49.5</v>
      </c>
      <c r="F8" s="17" t="s">
        <v>26</v>
      </c>
      <c r="G8" s="20" t="s">
        <v>20</v>
      </c>
      <c r="H8" s="20"/>
      <c r="I8" s="20"/>
    </row>
    <row r="9" spans="1:9" ht="15.75" thickBot="1">
      <c r="A9" s="2"/>
      <c r="B9" s="28" t="s">
        <v>47</v>
      </c>
      <c r="C9" s="19"/>
      <c r="D9" s="20">
        <v>199.25000000000003</v>
      </c>
      <c r="E9" s="23">
        <v>36</v>
      </c>
      <c r="F9" s="17" t="s">
        <v>11</v>
      </c>
      <c r="G9" s="20" t="s">
        <v>21</v>
      </c>
      <c r="H9" s="20"/>
      <c r="I9" s="20"/>
    </row>
    <row r="10" spans="1:9" ht="15.75" thickBot="1">
      <c r="A10" s="2"/>
      <c r="B10" s="28" t="s">
        <v>48</v>
      </c>
      <c r="C10" s="19"/>
      <c r="D10" s="20">
        <v>222.62000000000006</v>
      </c>
      <c r="E10" s="23">
        <v>30.5</v>
      </c>
      <c r="F10" s="17" t="s">
        <v>24</v>
      </c>
      <c r="G10" s="20"/>
      <c r="H10" s="20"/>
      <c r="I10" s="20"/>
    </row>
    <row r="11" spans="1:9" ht="15.75" thickBot="1">
      <c r="A11" s="2"/>
      <c r="B11" s="28" t="s">
        <v>49</v>
      </c>
      <c r="C11" s="19"/>
      <c r="D11" s="20">
        <v>201.3</v>
      </c>
      <c r="E11" s="23">
        <v>30.5</v>
      </c>
      <c r="F11" s="17" t="s">
        <v>12</v>
      </c>
      <c r="G11" s="20"/>
      <c r="H11" s="20"/>
      <c r="I11" s="20"/>
    </row>
    <row r="12" spans="1:9" ht="15.75" thickBot="1">
      <c r="A12" s="2"/>
      <c r="B12" s="28" t="s">
        <v>50</v>
      </c>
      <c r="C12" s="19"/>
      <c r="D12" s="20">
        <v>217.06999999999991</v>
      </c>
      <c r="E12" s="23">
        <v>30.5</v>
      </c>
      <c r="F12" s="17" t="s">
        <v>13</v>
      </c>
      <c r="G12" s="20"/>
      <c r="H12" s="20"/>
      <c r="I12" s="20"/>
    </row>
    <row r="13" spans="1:9" ht="15.75" thickBot="1">
      <c r="A13" s="2"/>
      <c r="B13" s="28" t="s">
        <v>51</v>
      </c>
      <c r="C13" s="19"/>
      <c r="D13" s="20">
        <v>226.95</v>
      </c>
      <c r="E13" s="23">
        <v>30.5</v>
      </c>
      <c r="F13" s="17" t="s">
        <v>14</v>
      </c>
      <c r="G13" s="20"/>
      <c r="H13" s="20"/>
      <c r="I13" s="20"/>
    </row>
    <row r="14" spans="1:9" ht="15.75" thickBot="1">
      <c r="A14" s="2"/>
      <c r="B14" s="28" t="s">
        <v>52</v>
      </c>
      <c r="C14" s="19"/>
      <c r="D14" s="20">
        <v>209.25</v>
      </c>
      <c r="E14" s="23">
        <v>30.5</v>
      </c>
      <c r="F14" s="17" t="s">
        <v>15</v>
      </c>
      <c r="G14" s="20"/>
      <c r="H14" s="20"/>
      <c r="I14" s="20"/>
    </row>
    <row r="15" spans="1:9" ht="15.75" thickBot="1">
      <c r="A15" s="2"/>
      <c r="B15" s="28" t="s">
        <v>53</v>
      </c>
      <c r="C15" s="19"/>
      <c r="D15" s="20">
        <v>204.63000000000002</v>
      </c>
      <c r="E15" s="23">
        <v>30.5</v>
      </c>
      <c r="F15" s="17" t="s">
        <v>27</v>
      </c>
      <c r="G15" s="20"/>
      <c r="H15" s="20"/>
      <c r="I15" s="20"/>
    </row>
    <row r="16" spans="1:9" ht="15.75" thickBot="1">
      <c r="A16" s="2"/>
      <c r="B16" s="28" t="s">
        <v>54</v>
      </c>
      <c r="C16" s="19"/>
      <c r="D16" s="20">
        <v>199.99999999999997</v>
      </c>
      <c r="E16" s="23">
        <v>30.5</v>
      </c>
      <c r="F16" s="17" t="s">
        <v>28</v>
      </c>
      <c r="G16" s="20"/>
      <c r="H16" s="20"/>
      <c r="I16" s="20"/>
    </row>
    <row r="17" spans="1:9" ht="15.75" thickBot="1">
      <c r="A17" s="2"/>
      <c r="B17" s="28" t="s">
        <v>55</v>
      </c>
      <c r="C17" s="21"/>
      <c r="D17" s="22">
        <v>203.50000000000003</v>
      </c>
      <c r="E17" s="23">
        <v>30.5</v>
      </c>
      <c r="F17" s="17" t="s">
        <v>29</v>
      </c>
      <c r="G17" s="20"/>
      <c r="H17" s="20"/>
      <c r="I17" s="20"/>
    </row>
    <row r="18" spans="1:9" ht="15.75" thickBot="1">
      <c r="A18" s="2"/>
      <c r="B18" s="21" t="s">
        <v>60</v>
      </c>
      <c r="C18" s="22"/>
      <c r="D18" s="29">
        <v>313.8900000000001</v>
      </c>
      <c r="E18" s="23">
        <v>62.5</v>
      </c>
      <c r="F18" s="17" t="s">
        <v>34</v>
      </c>
      <c r="G18" s="20" t="s">
        <v>33</v>
      </c>
      <c r="H18" s="20"/>
      <c r="I18" s="20"/>
    </row>
    <row r="19" spans="1:9" ht="15.75" thickBot="1">
      <c r="A19" s="2"/>
      <c r="B19" s="21" t="s">
        <v>61</v>
      </c>
      <c r="C19" s="22"/>
      <c r="D19" s="30">
        <v>244.25</v>
      </c>
      <c r="E19" s="23">
        <v>46.5</v>
      </c>
      <c r="F19" s="17" t="s">
        <v>30</v>
      </c>
      <c r="G19" s="20" t="s">
        <v>35</v>
      </c>
      <c r="H19" s="20"/>
      <c r="I19" s="20"/>
    </row>
    <row r="20" spans="1:9" ht="15.75" thickBot="1">
      <c r="A20" s="2"/>
      <c r="B20" s="21" t="s">
        <v>62</v>
      </c>
      <c r="C20" s="22"/>
      <c r="D20" s="30">
        <v>295.49999999999994</v>
      </c>
      <c r="E20" s="23">
        <v>67.5</v>
      </c>
      <c r="F20" s="33" t="s">
        <v>32</v>
      </c>
      <c r="G20" s="20" t="s">
        <v>36</v>
      </c>
      <c r="H20" s="20"/>
      <c r="I20" s="20"/>
    </row>
    <row r="21" spans="1:9" ht="15.75" thickBot="1">
      <c r="A21" s="25"/>
      <c r="B21" s="21" t="s">
        <v>63</v>
      </c>
      <c r="C21" s="22"/>
      <c r="D21" s="30">
        <v>242.49999999999997</v>
      </c>
      <c r="E21" s="23">
        <v>43.5</v>
      </c>
      <c r="F21" s="24" t="s">
        <v>39</v>
      </c>
      <c r="G21" s="20" t="s">
        <v>38</v>
      </c>
      <c r="H21" s="20"/>
      <c r="I21" s="20"/>
    </row>
    <row r="22" spans="1:9" ht="15.75" thickBot="1">
      <c r="A22" s="2"/>
      <c r="B22" s="21" t="s">
        <v>64</v>
      </c>
      <c r="C22" s="22"/>
      <c r="D22" s="29">
        <v>248.64000000000001</v>
      </c>
      <c r="E22" s="23">
        <v>41</v>
      </c>
      <c r="F22" s="17" t="s">
        <v>41</v>
      </c>
      <c r="G22" s="20" t="s">
        <v>40</v>
      </c>
      <c r="H22" s="20"/>
      <c r="I22" s="20"/>
    </row>
    <row r="23" spans="1:9" ht="15.75" thickBot="1">
      <c r="A23" s="2"/>
      <c r="B23" s="21" t="s">
        <v>65</v>
      </c>
      <c r="C23" s="22"/>
      <c r="D23" s="30">
        <v>223.00000000000003</v>
      </c>
      <c r="E23" s="23">
        <v>30.5</v>
      </c>
      <c r="F23" s="17" t="s">
        <v>56</v>
      </c>
      <c r="G23" s="20"/>
      <c r="H23" s="20"/>
      <c r="I23" s="20"/>
    </row>
    <row r="24" spans="1:9" ht="15.75" thickBot="1">
      <c r="A24" s="2"/>
      <c r="B24" s="21" t="s">
        <v>66</v>
      </c>
      <c r="C24" s="20"/>
      <c r="D24" s="29">
        <v>239.24999999999994</v>
      </c>
      <c r="E24" s="23">
        <v>30.5</v>
      </c>
      <c r="F24" s="17" t="s">
        <v>57</v>
      </c>
      <c r="G24" s="20"/>
      <c r="H24" s="20"/>
      <c r="I24" s="20"/>
    </row>
    <row r="25" spans="1:9" ht="15.75" thickBot="1">
      <c r="A25" s="2"/>
      <c r="B25" s="21" t="s">
        <v>67</v>
      </c>
      <c r="C25" s="20"/>
      <c r="D25" s="29">
        <v>221.70000000000002</v>
      </c>
      <c r="E25" s="23">
        <v>30.5</v>
      </c>
      <c r="F25" s="17" t="s">
        <v>58</v>
      </c>
      <c r="G25" s="20"/>
      <c r="H25" s="20"/>
      <c r="I25" s="20"/>
    </row>
    <row r="26" spans="1:9" ht="15" customHeight="1" thickBot="1">
      <c r="A26" s="2"/>
      <c r="B26" s="21" t="s">
        <v>68</v>
      </c>
      <c r="C26" s="20"/>
      <c r="D26" s="29">
        <v>233.74999999999997</v>
      </c>
      <c r="E26" s="23">
        <v>30.5</v>
      </c>
      <c r="F26" s="17" t="s">
        <v>58</v>
      </c>
      <c r="G26" s="20"/>
      <c r="H26" s="20"/>
      <c r="I26" s="20"/>
    </row>
    <row r="27" spans="1:9" ht="15" customHeight="1" thickBot="1">
      <c r="A27" s="2"/>
      <c r="B27" s="21" t="s">
        <v>72</v>
      </c>
      <c r="C27" s="20"/>
      <c r="D27" s="29">
        <v>246.56999999999994</v>
      </c>
      <c r="E27" s="23">
        <v>38</v>
      </c>
      <c r="F27" s="17" t="s">
        <v>59</v>
      </c>
      <c r="G27" s="20" t="s">
        <v>21</v>
      </c>
      <c r="H27" s="20"/>
      <c r="I27" s="20"/>
    </row>
    <row r="28" spans="1:9" ht="15" customHeight="1" thickBot="1">
      <c r="A28" s="2"/>
      <c r="B28" s="21" t="s">
        <v>73</v>
      </c>
      <c r="C28" s="20"/>
      <c r="D28" s="29">
        <v>238.49999999999994</v>
      </c>
      <c r="E28" s="23">
        <v>38</v>
      </c>
      <c r="F28" s="17" t="s">
        <v>70</v>
      </c>
      <c r="G28" s="20" t="s">
        <v>71</v>
      </c>
      <c r="H28" s="20"/>
      <c r="I28" s="20"/>
    </row>
    <row r="29" spans="1:9" ht="15" customHeight="1" thickBot="1">
      <c r="A29" s="2"/>
      <c r="B29" s="21" t="s">
        <v>74</v>
      </c>
      <c r="C29" s="20"/>
      <c r="D29" s="29">
        <v>236.33999999999997</v>
      </c>
      <c r="E29" s="23">
        <v>30.5</v>
      </c>
      <c r="F29" s="17" t="s">
        <v>69</v>
      </c>
      <c r="G29" s="20"/>
      <c r="H29" s="20"/>
      <c r="I29" s="20"/>
    </row>
    <row r="30" spans="1:9" ht="15" customHeight="1" thickBot="1">
      <c r="A30" s="2"/>
      <c r="B30" s="21" t="s">
        <v>79</v>
      </c>
      <c r="C30" s="20"/>
      <c r="D30" s="29">
        <v>234.3</v>
      </c>
      <c r="E30" s="23">
        <v>30.5</v>
      </c>
      <c r="F30" s="24" t="s">
        <v>75</v>
      </c>
      <c r="G30" s="20"/>
      <c r="H30" s="20"/>
      <c r="I30" s="20"/>
    </row>
    <row r="31" spans="1:9" ht="15" customHeight="1" thickBot="1">
      <c r="A31" s="2"/>
      <c r="B31" s="21" t="s">
        <v>80</v>
      </c>
      <c r="C31" s="20"/>
      <c r="D31" s="31">
        <v>227.91999999999996</v>
      </c>
      <c r="E31" s="23">
        <v>30.5</v>
      </c>
      <c r="F31" s="24" t="s">
        <v>78</v>
      </c>
      <c r="G31" s="20"/>
      <c r="H31" s="20"/>
      <c r="I31" s="20"/>
    </row>
    <row r="32" spans="1:9" ht="15" customHeight="1" thickBot="1">
      <c r="A32" s="2"/>
      <c r="B32" s="21" t="s">
        <v>81</v>
      </c>
      <c r="C32" s="20"/>
      <c r="D32" s="31">
        <v>255.88000000000002</v>
      </c>
      <c r="E32" s="23">
        <v>30.5</v>
      </c>
      <c r="F32" s="24" t="s">
        <v>77</v>
      </c>
      <c r="G32" s="20"/>
      <c r="H32" s="20"/>
      <c r="I32" s="20"/>
    </row>
    <row r="33" spans="1:9" ht="15.75" thickBot="1">
      <c r="A33" s="2"/>
      <c r="B33" s="21" t="s">
        <v>82</v>
      </c>
      <c r="C33" s="2"/>
      <c r="D33" s="32">
        <v>253.94000000000003</v>
      </c>
      <c r="E33" s="23">
        <v>30.5</v>
      </c>
      <c r="F33" s="17" t="s">
        <v>76</v>
      </c>
      <c r="G33" s="20"/>
      <c r="H33" s="20"/>
      <c r="I33" s="20"/>
    </row>
    <row r="34" spans="1:9" ht="15.75" thickBot="1">
      <c r="A34" s="2"/>
      <c r="B34" s="21"/>
      <c r="C34" s="2"/>
      <c r="D34" s="32"/>
      <c r="E34" s="23"/>
      <c r="F34" s="17"/>
      <c r="G34" s="20"/>
      <c r="H34" s="20"/>
      <c r="I34" s="20"/>
    </row>
    <row r="35" spans="1:9" ht="15.75" thickBot="1">
      <c r="A35" s="2"/>
      <c r="B35" s="19"/>
      <c r="C35" s="2"/>
      <c r="D35" s="32"/>
      <c r="E35" s="23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7">
        <f>SUM(D4:D35)-SUM(E4:E35)</f>
        <v>5978.96</v>
      </c>
      <c r="E36" s="26">
        <f>SUM(E4:E35)</f>
        <v>1164.5</v>
      </c>
      <c r="F36" s="18">
        <f>SUM(D36:E36)</f>
        <v>7143.46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244659.04320000001</v>
      </c>
      <c r="E37" s="15">
        <f>E36*43.41</f>
        <v>50550.944999999992</v>
      </c>
      <c r="F37" s="16">
        <f>D37+E37</f>
        <v>295209.98820000002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2024-07-01T08:22:38Z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